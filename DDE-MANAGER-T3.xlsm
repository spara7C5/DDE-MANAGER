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Users\Brain ADM\Devel\WEBANK-t3\"/>
    </mc:Choice>
  </mc:AlternateContent>
  <bookViews>
    <workbookView xWindow="0" yWindow="0" windowWidth="20808" windowHeight="11208" activeTab="1"/>
  </bookViews>
  <sheets>
    <sheet name="DATAIN" sheetId="1" r:id="rId1"/>
    <sheet name="TEMPO" sheetId="11" r:id="rId2"/>
  </sheets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4" i="1" l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104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103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A102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101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100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A99" i="1"/>
  <c r="N98" i="1"/>
  <c r="M98" i="1"/>
  <c r="L98" i="1"/>
  <c r="K98" i="1"/>
  <c r="J98" i="1"/>
  <c r="I98" i="1"/>
  <c r="H98" i="1"/>
  <c r="G98" i="1"/>
  <c r="F98" i="1"/>
  <c r="E98" i="1"/>
  <c r="D98" i="1"/>
  <c r="C98" i="1"/>
  <c r="B98" i="1"/>
  <c r="A98" i="1"/>
  <c r="N97" i="1"/>
  <c r="M97" i="1"/>
  <c r="L97" i="1"/>
  <c r="K97" i="1"/>
  <c r="J97" i="1"/>
  <c r="I97" i="1"/>
  <c r="H97" i="1"/>
  <c r="G97" i="1"/>
  <c r="F97" i="1"/>
  <c r="E97" i="1"/>
  <c r="D97" i="1"/>
  <c r="C97" i="1"/>
  <c r="B97" i="1"/>
  <c r="A97" i="1"/>
  <c r="N96" i="1"/>
  <c r="M96" i="1"/>
  <c r="L96" i="1"/>
  <c r="K96" i="1"/>
  <c r="J96" i="1"/>
  <c r="I96" i="1"/>
  <c r="H96" i="1"/>
  <c r="G96" i="1"/>
  <c r="F96" i="1"/>
  <c r="E96" i="1"/>
  <c r="D96" i="1"/>
  <c r="C96" i="1"/>
  <c r="B96" i="1"/>
  <c r="A96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95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94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93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92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91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90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89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88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87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86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85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84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83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82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81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80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79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78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77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76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75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74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73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72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71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70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69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68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66" i="1"/>
  <c r="N65" i="1"/>
  <c r="M65" i="1"/>
  <c r="L65" i="1"/>
  <c r="K65" i="1"/>
  <c r="J65" i="1"/>
  <c r="I65" i="1"/>
  <c r="H65" i="1"/>
  <c r="G65" i="1"/>
  <c r="F65" i="1"/>
  <c r="E65" i="1"/>
  <c r="D65" i="1"/>
  <c r="C65" i="1"/>
  <c r="B65" i="1"/>
  <c r="A65" i="1"/>
  <c r="N64" i="1"/>
  <c r="M64" i="1"/>
  <c r="L64" i="1"/>
  <c r="K64" i="1"/>
  <c r="J64" i="1"/>
  <c r="I64" i="1"/>
  <c r="H64" i="1"/>
  <c r="G64" i="1"/>
  <c r="F64" i="1"/>
  <c r="E64" i="1"/>
  <c r="D64" i="1"/>
  <c r="C64" i="1"/>
  <c r="B64" i="1"/>
  <c r="A64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N62" i="1"/>
  <c r="M62" i="1"/>
  <c r="L62" i="1"/>
  <c r="K62" i="1"/>
  <c r="J62" i="1"/>
  <c r="I62" i="1"/>
  <c r="H62" i="1"/>
  <c r="G62" i="1"/>
  <c r="F62" i="1"/>
  <c r="E62" i="1"/>
  <c r="D62" i="1"/>
  <c r="C62" i="1"/>
  <c r="B62" i="1"/>
  <c r="A62" i="1"/>
  <c r="N61" i="1"/>
  <c r="M61" i="1"/>
  <c r="L61" i="1"/>
  <c r="K61" i="1"/>
  <c r="J61" i="1"/>
  <c r="I61" i="1"/>
  <c r="H61" i="1"/>
  <c r="G61" i="1"/>
  <c r="F61" i="1"/>
  <c r="E61" i="1"/>
  <c r="D61" i="1"/>
  <c r="C61" i="1"/>
  <c r="B61" i="1"/>
  <c r="A61" i="1"/>
  <c r="N60" i="1"/>
  <c r="M60" i="1"/>
  <c r="L60" i="1"/>
  <c r="K60" i="1"/>
  <c r="J60" i="1"/>
  <c r="I60" i="1"/>
  <c r="H60" i="1"/>
  <c r="G60" i="1"/>
  <c r="F60" i="1"/>
  <c r="E60" i="1"/>
  <c r="D60" i="1"/>
  <c r="C60" i="1"/>
  <c r="B60" i="1"/>
  <c r="A60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A58" i="1"/>
  <c r="N57" i="1"/>
  <c r="M57" i="1"/>
  <c r="L57" i="1"/>
  <c r="K57" i="1"/>
  <c r="J57" i="1"/>
  <c r="I57" i="1"/>
  <c r="H57" i="1"/>
  <c r="G57" i="1"/>
  <c r="F57" i="1"/>
  <c r="E57" i="1"/>
  <c r="D57" i="1"/>
  <c r="C57" i="1"/>
  <c r="B57" i="1"/>
  <c r="A57" i="1"/>
  <c r="N56" i="1"/>
  <c r="M56" i="1"/>
  <c r="L56" i="1"/>
  <c r="K56" i="1"/>
  <c r="J56" i="1"/>
  <c r="I56" i="1"/>
  <c r="H56" i="1"/>
  <c r="G56" i="1"/>
  <c r="F56" i="1"/>
  <c r="E56" i="1"/>
  <c r="D56" i="1"/>
  <c r="C56" i="1"/>
  <c r="B56" i="1"/>
  <c r="A56" i="1"/>
  <c r="N55" i="1"/>
  <c r="M55" i="1"/>
  <c r="L55" i="1"/>
  <c r="K55" i="1"/>
  <c r="J55" i="1"/>
  <c r="I55" i="1"/>
  <c r="H55" i="1"/>
  <c r="G55" i="1"/>
  <c r="F55" i="1"/>
  <c r="E55" i="1"/>
  <c r="D55" i="1"/>
  <c r="C55" i="1"/>
  <c r="B55" i="1"/>
  <c r="A55" i="1"/>
  <c r="N54" i="1"/>
  <c r="M54" i="1"/>
  <c r="L54" i="1"/>
  <c r="K54" i="1"/>
  <c r="J54" i="1"/>
  <c r="I54" i="1"/>
  <c r="H54" i="1"/>
  <c r="G54" i="1"/>
  <c r="F54" i="1"/>
  <c r="E54" i="1"/>
  <c r="D54" i="1"/>
  <c r="C54" i="1"/>
  <c r="B54" i="1"/>
  <c r="A54" i="1"/>
  <c r="N53" i="1"/>
  <c r="M53" i="1"/>
  <c r="L53" i="1"/>
  <c r="K53" i="1"/>
  <c r="J53" i="1"/>
  <c r="I53" i="1"/>
  <c r="H53" i="1"/>
  <c r="G53" i="1"/>
  <c r="F53" i="1"/>
  <c r="E53" i="1"/>
  <c r="D53" i="1"/>
  <c r="C53" i="1"/>
  <c r="B53" i="1"/>
  <c r="A53" i="1"/>
  <c r="N52" i="1"/>
  <c r="M52" i="1"/>
  <c r="L52" i="1"/>
  <c r="K52" i="1"/>
  <c r="J52" i="1"/>
  <c r="I52" i="1"/>
  <c r="H52" i="1"/>
  <c r="G52" i="1"/>
  <c r="F52" i="1"/>
  <c r="E52" i="1"/>
  <c r="D52" i="1"/>
  <c r="C52" i="1"/>
  <c r="B52" i="1"/>
  <c r="A52" i="1"/>
  <c r="N51" i="1"/>
  <c r="M51" i="1"/>
  <c r="L51" i="1"/>
  <c r="K51" i="1"/>
  <c r="J51" i="1"/>
  <c r="I51" i="1"/>
  <c r="H51" i="1"/>
  <c r="G51" i="1"/>
  <c r="F51" i="1"/>
  <c r="E51" i="1"/>
  <c r="D51" i="1"/>
  <c r="C51" i="1"/>
  <c r="B51" i="1"/>
  <c r="A51" i="1"/>
  <c r="N50" i="1"/>
  <c r="M50" i="1"/>
  <c r="L50" i="1"/>
  <c r="K50" i="1"/>
  <c r="J50" i="1"/>
  <c r="I50" i="1"/>
  <c r="H50" i="1"/>
  <c r="G50" i="1"/>
  <c r="F50" i="1"/>
  <c r="E50" i="1"/>
  <c r="D50" i="1"/>
  <c r="C50" i="1"/>
  <c r="B50" i="1"/>
  <c r="A50" i="1"/>
  <c r="N49" i="1"/>
  <c r="M49" i="1"/>
  <c r="L49" i="1"/>
  <c r="K49" i="1"/>
  <c r="J49" i="1"/>
  <c r="I49" i="1"/>
  <c r="H49" i="1"/>
  <c r="G49" i="1"/>
  <c r="F49" i="1"/>
  <c r="E49" i="1"/>
  <c r="D49" i="1"/>
  <c r="C49" i="1"/>
  <c r="B49" i="1"/>
  <c r="A49" i="1"/>
  <c r="N48" i="1"/>
  <c r="M48" i="1"/>
  <c r="L48" i="1"/>
  <c r="K48" i="1"/>
  <c r="J48" i="1"/>
  <c r="I48" i="1"/>
  <c r="H48" i="1"/>
  <c r="G48" i="1"/>
  <c r="F48" i="1"/>
  <c r="E48" i="1"/>
  <c r="D48" i="1"/>
  <c r="C48" i="1"/>
  <c r="B48" i="1"/>
  <c r="A48" i="1"/>
  <c r="N47" i="1"/>
  <c r="M47" i="1"/>
  <c r="L47" i="1"/>
  <c r="K47" i="1"/>
  <c r="J47" i="1"/>
  <c r="I47" i="1"/>
  <c r="H47" i="1"/>
  <c r="G47" i="1"/>
  <c r="F47" i="1"/>
  <c r="E47" i="1"/>
  <c r="D47" i="1"/>
  <c r="C47" i="1"/>
  <c r="B47" i="1"/>
  <c r="A47" i="1"/>
  <c r="N46" i="1"/>
  <c r="M46" i="1"/>
  <c r="L46" i="1"/>
  <c r="K46" i="1"/>
  <c r="J46" i="1"/>
  <c r="I46" i="1"/>
  <c r="H46" i="1"/>
  <c r="G46" i="1"/>
  <c r="F46" i="1"/>
  <c r="E46" i="1"/>
  <c r="D46" i="1"/>
  <c r="C46" i="1"/>
  <c r="B46" i="1"/>
  <c r="A46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45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43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A42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A41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A39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38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A37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A35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A34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A33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A32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31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A30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A29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A28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27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A26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A25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A24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23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A22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A21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A20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A19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A18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A17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A16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A15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A14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A13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A12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A11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A10" i="1"/>
  <c r="N9" i="1"/>
  <c r="M9" i="1"/>
  <c r="L9" i="1"/>
  <c r="K9" i="1"/>
  <c r="J9" i="1"/>
  <c r="I9" i="1"/>
  <c r="H9" i="1"/>
  <c r="G9" i="1"/>
  <c r="F9" i="1"/>
  <c r="E9" i="1"/>
  <c r="D9" i="1"/>
  <c r="C9" i="1"/>
  <c r="B9" i="1"/>
  <c r="A9" i="1"/>
  <c r="N8" i="1"/>
  <c r="M8" i="1"/>
  <c r="L8" i="1"/>
  <c r="K8" i="1"/>
  <c r="J8" i="1"/>
  <c r="I8" i="1"/>
  <c r="H8" i="1"/>
  <c r="G8" i="1"/>
  <c r="F8" i="1"/>
  <c r="E8" i="1"/>
  <c r="D8" i="1"/>
  <c r="C8" i="1"/>
  <c r="B8" i="1"/>
  <c r="A8" i="1"/>
  <c r="N7" i="1"/>
  <c r="M7" i="1"/>
  <c r="L7" i="1"/>
  <c r="K7" i="1"/>
  <c r="J7" i="1"/>
  <c r="I7" i="1"/>
  <c r="H7" i="1"/>
  <c r="G7" i="1"/>
  <c r="F7" i="1"/>
  <c r="E7" i="1"/>
  <c r="D7" i="1"/>
  <c r="C7" i="1"/>
  <c r="B7" i="1"/>
  <c r="A7" i="1"/>
  <c r="N6" i="1"/>
  <c r="M6" i="1"/>
  <c r="L6" i="1"/>
  <c r="K6" i="1"/>
  <c r="J6" i="1"/>
  <c r="I6" i="1"/>
  <c r="H6" i="1"/>
  <c r="G6" i="1"/>
  <c r="F6" i="1"/>
  <c r="E6" i="1"/>
  <c r="D6" i="1"/>
  <c r="C6" i="1"/>
  <c r="B6" i="1"/>
  <c r="A6" i="1"/>
  <c r="N5" i="1"/>
  <c r="M5" i="1"/>
  <c r="L5" i="1"/>
  <c r="K5" i="1"/>
  <c r="J5" i="1"/>
  <c r="I5" i="1"/>
  <c r="H5" i="1"/>
  <c r="G5" i="1"/>
  <c r="F5" i="1"/>
  <c r="E5" i="1"/>
  <c r="D5" i="1"/>
  <c r="C5" i="1"/>
  <c r="B5" i="1"/>
  <c r="A5" i="1"/>
  <c r="N4" i="1"/>
  <c r="M4" i="1"/>
  <c r="L4" i="1"/>
  <c r="K4" i="1"/>
  <c r="J4" i="1"/>
  <c r="I4" i="1"/>
  <c r="H4" i="1"/>
  <c r="G4" i="1"/>
  <c r="F4" i="1"/>
  <c r="E4" i="1"/>
  <c r="D4" i="1"/>
  <c r="C4" i="1"/>
  <c r="B4" i="1"/>
  <c r="A4" i="1"/>
  <c r="N3" i="1"/>
  <c r="M3" i="1"/>
  <c r="L3" i="1"/>
  <c r="K3" i="1"/>
  <c r="J3" i="1"/>
  <c r="I3" i="1"/>
  <c r="H3" i="1"/>
  <c r="G3" i="1"/>
  <c r="F3" i="1"/>
  <c r="E3" i="1"/>
  <c r="D3" i="1"/>
  <c r="C3" i="1"/>
  <c r="B3" i="1"/>
  <c r="A3" i="1"/>
</calcChain>
</file>

<file path=xl/sharedStrings.xml><?xml version="1.0" encoding="utf-8"?>
<sst xmlns="http://schemas.openxmlformats.org/spreadsheetml/2006/main" count="4707" uniqueCount="53">
  <si>
    <t>NASDAQ 100</t>
  </si>
  <si>
    <t>Simbolo</t>
  </si>
  <si>
    <t>Titolo</t>
  </si>
  <si>
    <t>Mkt</t>
  </si>
  <si>
    <t>Ultimo</t>
  </si>
  <si>
    <t>Var%</t>
  </si>
  <si>
    <t>Q.tà bid</t>
  </si>
  <si>
    <t>Bid</t>
  </si>
  <si>
    <t>Ask</t>
  </si>
  <si>
    <t>Q.tà ask</t>
  </si>
  <si>
    <t>Trend</t>
  </si>
  <si>
    <t>Volume</t>
  </si>
  <si>
    <t>N.trades</t>
  </si>
  <si>
    <t>Stato</t>
  </si>
  <si>
    <t>Ora</t>
  </si>
  <si>
    <t>ATVI</t>
  </si>
  <si>
    <t>ACTIVISION BLIZZARD-ORD SHS USD</t>
  </si>
  <si>
    <t>NASDAQ</t>
  </si>
  <si>
    <t>+ + - + -</t>
  </si>
  <si>
    <t>CONT</t>
  </si>
  <si>
    <t>22.00.00</t>
  </si>
  <si>
    <t>+ + + + -</t>
  </si>
  <si>
    <t>+ - - - -</t>
  </si>
  <si>
    <t>- - - + -</t>
  </si>
  <si>
    <t>+ + - - +</t>
  </si>
  <si>
    <t>- - - - -</t>
  </si>
  <si>
    <t>+ - - + +</t>
  </si>
  <si>
    <t>- + + + +</t>
  </si>
  <si>
    <t>22.00.01</t>
  </si>
  <si>
    <t>+ - - + -</t>
  </si>
  <si>
    <t>- - - - +</t>
  </si>
  <si>
    <t>- - + - +</t>
  </si>
  <si>
    <t>+ + + - +</t>
  </si>
  <si>
    <t>+ + - - -</t>
  </si>
  <si>
    <t>- + + - -</t>
  </si>
  <si>
    <t>+ - + + +</t>
  </si>
  <si>
    <t>- + - - -</t>
  </si>
  <si>
    <t>- + - + -</t>
  </si>
  <si>
    <t>+ - + - +</t>
  </si>
  <si>
    <t>- - + - -</t>
  </si>
  <si>
    <t>+ + - + +</t>
  </si>
  <si>
    <t>+ - - - +</t>
  </si>
  <si>
    <t>- - + + +</t>
  </si>
  <si>
    <t>+ + + + +</t>
  </si>
  <si>
    <t>- - + + -</t>
  </si>
  <si>
    <t>- - - + +</t>
  </si>
  <si>
    <t>- + + + -</t>
  </si>
  <si>
    <t>- + + - +</t>
  </si>
  <si>
    <t>- + - - +</t>
  </si>
  <si>
    <t>+ + + - -</t>
  </si>
  <si>
    <t>+ - + + -</t>
  </si>
  <si>
    <t>+ - + - -</t>
  </si>
  <si>
    <t>- + - +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</si>
</sst>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T3_DDE_SERVER_SVI" ddeTopic="T3_DDE_QUOTE_TOPIC">
    <ddeItems>
      <ddeItem name="NQ.EQNQ.1003303@best_asiz1" advise="1">
        <values>
          <value>
            <val>100</val>
          </value>
        </values>
      </ddeItem>
      <ddeItem name="NQ.EQNQ.1003303@best_ask1" advise="1">
        <values>
          <value>
            <val>2099</val>
          </value>
        </values>
      </ddeItem>
      <ddeItem name="NQ.EQNQ.1003303@best_bid1" advise="1">
        <values>
          <value>
            <val>2096.5100000000002</val>
          </value>
        </values>
      </ddeItem>
      <ddeItem name="NQ.EQNQ.1003303@best_bsiz1" advise="1">
        <values>
          <value>
            <val>100</val>
          </value>
        </values>
      </ddeItem>
      <ddeItem name="NQ.EQNQ.1003303@exchange_name" advise="1">
        <values>
          <value t="str">
            <val>NASDAQ</val>
          </value>
        </values>
      </ddeItem>
      <ddeItem name="NQ.EQNQ.1003303@instrument_name" advise="1">
        <values>
          <value t="str">
            <val>ALPHABET-C SHS -C-</val>
          </value>
        </values>
      </ddeItem>
      <ddeItem name="NQ.EQNQ.1003303@last_price" advise="1">
        <values>
          <value>
            <val>2098</val>
          </value>
        </values>
      </ddeItem>
      <ddeItem name="NQ.EQNQ.1003303@lst_prctck" advise="1">
        <values>
          <value t="str">
            <val>- - - - -</val>
          </value>
        </values>
      </ddeItem>
      <ddeItem name="NQ.EQNQ.1003303@percentage_change" advise="1">
        <values>
          <value>
            <val>1.73</val>
          </value>
        </values>
      </ddeItem>
      <ddeItem name="NQ.EQNQ.1003303@prc_ql_cd" advise="1">
        <values>
          <value t="str">
            <val>CONT</val>
          </value>
        </values>
      </ddeItem>
      <ddeItem name="NQ.EQNQ.1003303@symbol" advise="1">
        <values>
          <value t="str">
            <val>GOOG</val>
          </value>
        </values>
      </ddeItem>
      <ddeItem name="NQ.EQNQ.1003303@trade_count" advise="1">
        <values>
          <value t="nil">
            <val>1</val>
          </value>
        </values>
      </ddeItem>
      <ddeItem name="NQ.EQNQ.1003303@trade_time" advise="1">
        <values>
          <value t="str">
            <val>22.00.00</val>
          </value>
        </values>
      </ddeItem>
      <ddeItem name="NQ.EQNQ.1003303@trade_volume_bi" advise="1">
        <values>
          <value>
            <val>1522006</val>
          </value>
        </values>
      </ddeItem>
      <ddeItem name="NQ.EQNQ.1003305@best_asiz1" advise="1">
        <values>
          <value>
            <val>100</val>
          </value>
        </values>
      </ddeItem>
      <ddeItem name="NQ.EQNQ.1003305@best_ask1" advise="1">
        <values>
          <value>
            <val>2090.9699999999998</val>
          </value>
        </values>
      </ddeItem>
      <ddeItem name="NQ.EQNQ.1003305@best_bid1" advise="1">
        <values>
          <value>
            <val>2089.4</val>
          </value>
        </values>
      </ddeItem>
      <ddeItem name="NQ.EQNQ.1003305@best_bsiz1" advise="1">
        <values>
          <value>
            <val>100</val>
          </value>
        </values>
      </ddeItem>
      <ddeItem name="NQ.EQNQ.1003305@exchange_name" advise="1">
        <values>
          <value t="str">
            <val>NASDAQ</val>
          </value>
        </values>
      </ddeItem>
      <ddeItem name="NQ.EQNQ.1003305@instrument_name" advise="1">
        <values>
          <value t="str">
            <val>ALPHABET-A SHS -A-</val>
          </value>
        </values>
      </ddeItem>
      <ddeItem name="NQ.EQNQ.1003305@last_price" advise="1">
        <values>
          <value>
            <val>2088.83</val>
          </value>
        </values>
      </ddeItem>
      <ddeItem name="NQ.EQNQ.1003305@lst_prctck" advise="1">
        <values>
          <value t="str">
            <val>- - - - -</val>
          </value>
        </values>
      </ddeItem>
      <ddeItem name="NQ.EQNQ.1003305@percentage_change" advise="1">
        <values>
          <value>
            <val>1.71</val>
          </value>
        </values>
      </ddeItem>
      <ddeItem name="NQ.EQNQ.1003305@prc_ql_cd" advise="1">
        <values>
          <value t="str">
            <val>CONT</val>
          </value>
        </values>
      </ddeItem>
      <ddeItem name="NQ.EQNQ.1003305@symbol" advise="1">
        <values>
          <value t="str">
            <val>GOOGL</val>
          </value>
        </values>
      </ddeItem>
      <ddeItem name="NQ.EQNQ.1003305@trade_count" advise="1">
        <values>
          <value t="nil">
            <val>1</val>
          </value>
        </values>
      </ddeItem>
      <ddeItem name="NQ.EQNQ.1003305@trade_time" advise="1">
        <values>
          <value t="str">
            <val>22.00.00</val>
          </value>
        </values>
      </ddeItem>
      <ddeItem name="NQ.EQNQ.1003305@trade_volume_bi" advise="1">
        <values>
          <value>
            <val>1484958</val>
          </value>
        </values>
      </ddeItem>
      <ddeItem name="NQ.EQNQ.103762@best_asiz1" advise="1">
        <values>
          <value>
            <val>400</val>
          </value>
        </values>
      </ddeItem>
      <ddeItem name="NQ.EQNQ.103762@best_ask1" advise="1">
        <values>
          <value>
            <val>270</val>
          </value>
        </values>
      </ddeItem>
      <ddeItem name="NQ.EQNQ.103762@best_bid1" advise="1">
        <values>
          <value>
            <val>269.75</val>
          </value>
        </values>
      </ddeItem>
      <ddeItem name="NQ.EQNQ.103762@best_bsiz1" advise="1">
        <values>
          <value>
            <val>100</val>
          </value>
        </values>
      </ddeItem>
      <ddeItem name="NQ.EQNQ.103762@exchange_name" advise="1">
        <values>
          <value t="str">
            <val>NASDAQ</val>
          </value>
        </values>
      </ddeItem>
      <ddeItem name="NQ.EQNQ.103762@instrument_name" advise="1">
        <values>
          <value t="str">
            <val>BAIDU.COM SP ADR-A</val>
          </value>
        </values>
      </ddeItem>
      <ddeItem name="NQ.EQNQ.103762@last_price" advise="1">
        <values>
          <value>
            <val>270.13</val>
          </value>
        </values>
      </ddeItem>
      <ddeItem name="NQ.EQNQ.103762@lst_prctck" advise="1">
        <values>
          <value t="str">
            <val>- + - - -</val>
          </value>
        </values>
      </ddeItem>
      <ddeItem name="NQ.EQNQ.103762@percentage_change" advise="1">
        <values>
          <value>
            <val>4.53</val>
          </value>
        </values>
      </ddeItem>
      <ddeItem name="NQ.EQNQ.103762@prc_ql_cd" advise="1">
        <values>
          <value t="str">
            <val>CONT</val>
          </value>
        </values>
      </ddeItem>
      <ddeItem name="NQ.EQNQ.103762@symbol" advise="1">
        <values>
          <value t="str">
            <val>BIDU</val>
          </value>
        </values>
      </ddeItem>
      <ddeItem name="NQ.EQNQ.103762@trade_count" advise="1">
        <values>
          <value t="nil">
            <val>1</val>
          </value>
        </values>
      </ddeItem>
      <ddeItem name="NQ.EQNQ.103762@trade_time" advise="1">
        <values>
          <value t="str">
            <val>22.00.00</val>
          </value>
        </values>
      </ddeItem>
      <ddeItem name="NQ.EQNQ.103762@trade_volume_bi" advise="1">
        <values>
          <value>
            <val>8132579</val>
          </value>
        </values>
      </ddeItem>
      <ddeItem name="NQ.EQNQ.1050826@best_asiz1" advise="1">
        <values>
          <value>
            <val>100</val>
          </value>
        </values>
      </ddeItem>
      <ddeItem name="NQ.EQNQ.1050826@best_ask1" advise="1">
        <values>
          <value>
            <val>265.99</val>
          </value>
        </values>
      </ddeItem>
      <ddeItem name="NQ.EQNQ.1050826@best_bid1" advise="1">
        <values>
          <value>
            <val>263.31</val>
          </value>
        </values>
      </ddeItem>
      <ddeItem name="NQ.EQNQ.1050826@best_bsiz1" advise="1">
        <values>
          <value>
            <val>100</val>
          </value>
        </values>
      </ddeItem>
      <ddeItem name="NQ.EQNQ.1050826@exchange_name" advise="1">
        <values>
          <value t="str">
            <val>NASDAQ</val>
          </value>
        </values>
      </ddeItem>
      <ddeItem name="NQ.EQNQ.1050826@instrument_name" advise="1">
        <values>
          <value t="str">
            <val>WORKDAY-ORD SHS CL A</val>
          </value>
        </values>
      </ddeItem>
      <ddeItem name="NQ.EQNQ.1050826@last_price" advise="1">
        <values>
          <value>
            <val>263.95</val>
          </value>
        </values>
      </ddeItem>
      <ddeItem name="NQ.EQNQ.1050826@lst_prctck" advise="1">
        <values>
          <value t="str">
            <val>- + + - +</val>
          </value>
        </values>
      </ddeItem>
      <ddeItem name="NQ.EQNQ.1050826@percentage_change" advise="1">
        <values>
          <value>
            <val>-0.09</val>
          </value>
        </values>
      </ddeItem>
      <ddeItem name="NQ.EQNQ.1050826@prc_ql_cd" advise="1">
        <values>
          <value t="str">
            <val>CONT</val>
          </value>
        </values>
      </ddeItem>
      <ddeItem name="NQ.EQNQ.1050826@symbol" advise="1">
        <values>
          <value t="str">
            <val>WDAY</val>
          </value>
        </values>
      </ddeItem>
      <ddeItem name="NQ.EQNQ.1050826@trade_count" advise="1">
        <values>
          <value t="nil">
            <val>1</val>
          </value>
        </values>
      </ddeItem>
      <ddeItem name="NQ.EQNQ.1050826@trade_time" advise="1">
        <values>
          <value t="str">
            <val>22.00.01</val>
          </value>
        </values>
      </ddeItem>
      <ddeItem name="NQ.EQNQ.1050826@trade_volume_bi" advise="1">
        <values>
          <value>
            <val>1842253</val>
          </value>
        </values>
      </ddeItem>
      <ddeItem name="NQ.EQNQ.1062092@best_asiz1" advise="1">
        <values>
          <value>
            <val>100</val>
          </value>
        </values>
      </ddeItem>
      <ddeItem name="NQ.EQNQ.1062092@best_ask1" advise="1">
        <values>
          <value>
            <val>673.99</val>
          </value>
        </values>
      </ddeItem>
      <ddeItem name="NQ.EQNQ.1062092@best_bid1" advise="1">
        <values>
          <value>
            <val>599</val>
          </value>
        </values>
      </ddeItem>
      <ddeItem name="NQ.EQNQ.1062092@best_bsiz1" advise="1">
        <values>
          <value>
            <val>100</val>
          </value>
        </values>
      </ddeItem>
      <ddeItem name="NQ.EQNQ.1062092@exchange_name" advise="1">
        <values>
          <value t="str">
            <val>NASDAQ</val>
          </value>
        </values>
      </ddeItem>
      <ddeItem name="NQ.EQNQ.1062092@instrument_name" advise="1">
        <values>
          <value t="str">
            <val>CHARTER COMM-A SHS -A-</val>
          </value>
        </values>
      </ddeItem>
      <ddeItem name="NQ.EQNQ.1062092@last_price" advise="1">
        <values>
          <value>
            <val>617.65</val>
          </value>
        </values>
      </ddeItem>
      <ddeItem name="NQ.EQNQ.1062092@lst_prctck" advise="1">
        <values>
          <value t="str">
            <val>+ + - + +</val>
          </value>
        </values>
      </ddeItem>
      <ddeItem name="NQ.EQNQ.1062092@percentage_change" advise="1">
        <values>
          <value>
            <val>-0.35</val>
          </value>
        </values>
      </ddeItem>
      <ddeItem name="NQ.EQNQ.1062092@prc_ql_cd" advise="1">
        <values>
          <value t="str">
            <val>CONT</val>
          </value>
        </values>
      </ddeItem>
      <ddeItem name="NQ.EQNQ.1062092@symbol" advise="1">
        <values>
          <value t="str">
            <val>CHTR</val>
          </value>
        </values>
      </ddeItem>
      <ddeItem name="NQ.EQNQ.1062092@trade_count" advise="1">
        <values>
          <value t="nil">
            <val>1</val>
          </value>
        </values>
      </ddeItem>
      <ddeItem name="NQ.EQNQ.1062092@trade_time" advise="1">
        <values>
          <value t="str">
            <val>22.00.00</val>
          </value>
        </values>
      </ddeItem>
      <ddeItem name="NQ.EQNQ.1062092@trade_volume_bi" advise="1">
        <values>
          <value>
            <val>732402</val>
          </value>
        </values>
      </ddeItem>
      <ddeItem name="NQ.EQNQ.10983@best_asiz1" advise="1">
        <values>
          <value>
            <val>100</val>
          </value>
        </values>
      </ddeItem>
      <ddeItem name="NQ.EQNQ.10983@best_ask1" advise="1">
        <values>
          <value>
            <val>75.52</val>
          </value>
        </values>
      </ddeItem>
      <ddeItem name="NQ.EQNQ.10983@best_bid1" advise="1">
        <values>
          <value>
            <val>74.5</val>
          </value>
        </values>
      </ddeItem>
      <ddeItem name="NQ.EQNQ.10983@best_bsiz1" advise="1">
        <values>
          <value>
            <val>200</val>
          </value>
        </values>
      </ddeItem>
      <ddeItem name="NQ.EQNQ.10983@exchange_name" advise="1">
        <values>
          <value t="str">
            <val>NASDAQ</val>
          </value>
        </values>
      </ddeItem>
      <ddeItem name="NQ.EQNQ.10983@instrument_name" advise="1">
        <values>
          <value t="str">
            <val>COGNIZANT TECH SO-A</val>
          </value>
        </values>
      </ddeItem>
      <ddeItem name="NQ.EQNQ.10983@last_price" advise="1">
        <values>
          <value>
            <val>74.5</val>
          </value>
        </values>
      </ddeItem>
      <ddeItem name="NQ.EQNQ.10983@lst_prctck" advise="1">
        <values>
          <value t="str">
            <val>+ + + + +</val>
          </value>
        </values>
      </ddeItem>
      <ddeItem name="NQ.EQNQ.10983@percentage_change" advise="1">
        <values>
          <value>
            <val>-0.25</val>
          </value>
        </values>
      </ddeItem>
      <ddeItem name="NQ.EQNQ.10983@prc_ql_cd" advise="1">
        <values>
          <value t="str">
            <val>CONT</val>
          </value>
        </values>
      </ddeItem>
      <ddeItem name="NQ.EQNQ.10983@symbol" advise="1">
        <values>
          <value t="str">
            <val>CTSH</val>
          </value>
        </values>
      </ddeItem>
      <ddeItem name="NQ.EQNQ.10983@trade_count" advise="1">
        <values>
          <value t="nil">
            <val>1</val>
          </value>
        </values>
      </ddeItem>
      <ddeItem name="NQ.EQNQ.10983@trade_time" advise="1">
        <values>
          <value t="str">
            <val>22.00.00</val>
          </value>
        </values>
      </ddeItem>
      <ddeItem name="NQ.EQNQ.10983@trade_volume_bi" advise="1">
        <values>
          <value>
            <val>4676091</val>
          </value>
        </values>
      </ddeItem>
      <ddeItem name="NQ.EQNQ.11073@best_asiz1" advise="1">
        <values>
          <value>
            <val>100</val>
          </value>
        </values>
      </ddeItem>
      <ddeItem name="NQ.EQNQ.11073@best_ask1" advise="1">
        <values>
          <value>
            <val>356.08</val>
          </value>
        </values>
      </ddeItem>
      <ddeItem name="NQ.EQNQ.11073@best_bid1" advise="1">
        <values>
          <value>
            <val>355.25</val>
          </value>
        </values>
      </ddeItem>
      <ddeItem name="NQ.EQNQ.11073@best_bsiz1" advise="1">
        <values>
          <value>
            <val>100</val>
          </value>
        </values>
      </ddeItem>
      <ddeItem name="NQ.EQNQ.11073@exchange_name" advise="1">
        <values>
          <value t="str">
            <val>NASDAQ</val>
          </value>
        </values>
      </ddeItem>
      <ddeItem name="NQ.EQNQ.11073@instrument_name" advise="1">
        <values>
          <value t="str">
            <val>COSTCO WHOLESALE CORPORATION</val>
          </value>
        </values>
      </ddeItem>
      <ddeItem name="NQ.EQNQ.11073@last_price" advise="1">
        <values>
          <value>
            <val>355.17</val>
          </value>
        </values>
      </ddeItem>
      <ddeItem name="NQ.EQNQ.11073@lst_prctck" advise="1">
        <values>
          <value t="str">
            <val>+ - - - -</val>
          </value>
        </values>
      </ddeItem>
      <ddeItem name="NQ.EQNQ.11073@percentage_change" advise="1">
        <values>
          <value>
            <val>-0.19</val>
          </value>
        </values>
      </ddeItem>
      <ddeItem name="NQ.EQNQ.11073@prc_ql_cd" advise="1">
        <values>
          <value t="str">
            <val>CONT</val>
          </value>
        </values>
      </ddeItem>
      <ddeItem name="NQ.EQNQ.11073@symbol" advise="1">
        <values>
          <value t="str">
            <val>COST</val>
          </value>
        </values>
      </ddeItem>
      <ddeItem name="NQ.EQNQ.11073@trade_count" advise="1">
        <values>
          <value t="nil">
            <val>1</val>
          </value>
        </values>
      </ddeItem>
      <ddeItem name="NQ.EQNQ.11073@trade_time" advise="1">
        <values>
          <value t="str">
            <val>22.00.00</val>
          </value>
        </values>
      </ddeItem>
      <ddeItem name="NQ.EQNQ.11073@trade_volume_bi" advise="1">
        <values>
          <value>
            <val>2082432</val>
          </value>
        </values>
      </ddeItem>
      <ddeItem name="NQ.EQNQ.1132@best_asiz1" advise="1">
        <values>
          <value>
            <val>100</val>
          </value>
        </values>
      </ddeItem>
      <ddeItem name="NQ.EQNQ.1132@best_ask1" advise="1">
        <values>
          <value>
            <val>149.71</val>
          </value>
        </values>
      </ddeItem>
      <ddeItem name="NQ.EQNQ.1132@best_bid1" advise="1">
        <values>
          <value>
            <val>148.76</val>
          </value>
        </values>
      </ddeItem>
      <ddeItem name="NQ.EQNQ.1132@best_bsiz1" advise="1">
        <values>
          <value>
            <val>100</val>
          </value>
        </values>
      </ddeItem>
      <ddeItem name="NQ.EQNQ.1132@exchange_name" advise="1">
        <values>
          <value t="str">
            <val>NASDAQ</val>
          </value>
        </values>
      </ddeItem>
      <ddeItem name="NQ.EQNQ.1132@instrument_name" advise="1">
        <values>
          <value t="str">
            <val>ANALOG DEVICES INC.</val>
          </value>
        </values>
      </ddeItem>
      <ddeItem name="NQ.EQNQ.1132@last_price" advise="1">
        <values>
          <value>
            <val>148.76</val>
          </value>
        </values>
      </ddeItem>
      <ddeItem name="NQ.EQNQ.1132@lst_prctck" advise="1">
        <values>
          <value t="str">
            <val>+ - - + -</val>
          </value>
        </values>
      </ddeItem>
      <ddeItem name="NQ.EQNQ.1132@percentage_change" advise="1">
        <values>
          <value>
            <val>-1.17</val>
          </value>
        </values>
      </ddeItem>
      <ddeItem name="NQ.EQNQ.1132@prc_ql_cd" advise="1">
        <values>
          <value t="str">
            <val>CONT</val>
          </value>
        </values>
      </ddeItem>
      <ddeItem name="NQ.EQNQ.1132@symbol" advise="1">
        <values>
          <value t="str">
            <val>ADI</val>
          </value>
        </values>
      </ddeItem>
      <ddeItem name="NQ.EQNQ.1132@trade_count" advise="1">
        <values>
          <value t="nil">
            <val>1</val>
          </value>
        </values>
      </ddeItem>
      <ddeItem name="NQ.EQNQ.1132@trade_time" advise="1">
        <values>
          <value t="str">
            <val>22.00.00</val>
          </value>
        </values>
      </ddeItem>
      <ddeItem name="NQ.EQNQ.1132@trade_volume_bi" advise="1">
        <values>
          <value>
            <val>2169046</val>
          </value>
        </values>
      </ddeItem>
      <ddeItem name="NQ.EQNQ.11414@best_asiz1" advise="1">
        <values>
          <value>
            <val>200</val>
          </value>
        </values>
      </ddeItem>
      <ddeItem name="NQ.EQNQ.11414@best_ask1" advise="1">
        <values>
          <value>
            <val>112.87</val>
          </value>
        </values>
      </ddeItem>
      <ddeItem name="NQ.EQNQ.11414@best_bid1" advise="1">
        <values>
          <value>
            <val>112.13</val>
          </value>
        </values>
      </ddeItem>
      <ddeItem name="NQ.EQNQ.11414@best_bsiz1" advise="1">
        <values>
          <value>
            <val>200</val>
          </value>
        </values>
      </ddeItem>
      <ddeItem name="NQ.EQNQ.11414@exchange_name" advise="1">
        <values>
          <value t="str">
            <val>NASDAQ</val>
          </value>
        </values>
      </ddeItem>
      <ddeItem name="NQ.EQNQ.11414@instrument_name" advise="1">
        <values>
          <value t="str">
            <val>FISERV INC</val>
          </value>
        </values>
      </ddeItem>
      <ddeItem name="NQ.EQNQ.11414@last_price" advise="1">
        <values>
          <value>
            <val>112.22</val>
          </value>
        </values>
      </ddeItem>
      <ddeItem name="NQ.EQNQ.11414@lst_prctck" advise="1">
        <values>
          <value t="str">
            <val>- - - - +</val>
          </value>
        </values>
      </ddeItem>
      <ddeItem name="NQ.EQNQ.11414@percentage_change" advise="1">
        <values>
          <value>
            <val>-0.02</val>
          </value>
        </values>
      </ddeItem>
      <ddeItem name="NQ.EQNQ.11414@prc_ql_cd" advise="1">
        <values>
          <value t="str">
            <val>CONT</val>
          </value>
        </values>
      </ddeItem>
      <ddeItem name="NQ.EQNQ.11414@symbol" advise="1">
        <values>
          <value t="str">
            <val>FISV</val>
          </value>
        </values>
      </ddeItem>
      <ddeItem name="NQ.EQNQ.11414@trade_count" advise="1">
        <values>
          <value t="nil">
            <val>1</val>
          </value>
        </values>
      </ddeItem>
      <ddeItem name="NQ.EQNQ.11414@trade_time" advise="1">
        <values>
          <value t="str">
            <val>22.00.00</val>
          </value>
        </values>
      </ddeItem>
      <ddeItem name="NQ.EQNQ.11414@trade_volume_bi" advise="1">
        <values>
          <value>
            <val>2540016</val>
          </value>
        </values>
      </ddeItem>
      <ddeItem name="NQ.EQNQ.1155@best_asiz1" advise="1">
        <values>
          <value>
            <val>100</val>
          </value>
        </values>
      </ddeItem>
      <ddeItem name="NQ.EQNQ.1155@best_ask1" advise="1">
        <values>
          <value>
            <val>80.73</val>
          </value>
        </values>
      </ddeItem>
      <ddeItem name="NQ.EQNQ.1155@best_bid1" advise="1">
        <values>
          <value>
            <val>79.849999999999994</val>
          </value>
        </values>
      </ddeItem>
      <ddeItem name="NQ.EQNQ.1155@best_bsiz1" advise="1">
        <values>
          <value>
            <val>100</val>
          </value>
        </values>
      </ddeItem>
      <ddeItem name="NQ.EQNQ.1155@exchange_name" advise="1">
        <values>
          <value t="str">
            <val>NASDAQ</val>
          </value>
        </values>
      </ddeItem>
      <ddeItem name="NQ.EQNQ.1155@instrument_name" advise="1">
        <values>
          <value t="str">
            <val>CERNER CORP</val>
          </value>
        </values>
      </ddeItem>
      <ddeItem name="NQ.EQNQ.1155@last_price" advise="1">
        <values>
          <value>
            <val>79.819999999999993</val>
          </value>
        </values>
      </ddeItem>
      <ddeItem name="NQ.EQNQ.1155@lst_prctck" advise="1">
        <values>
          <value t="str">
            <val>- + + + +</val>
          </value>
        </values>
      </ddeItem>
      <ddeItem name="NQ.EQNQ.1155@percentage_change" advise="1">
        <values>
          <value>
            <val>-0.34</val>
          </value>
        </values>
      </ddeItem>
      <ddeItem name="NQ.EQNQ.1155@prc_ql_cd" advise="1">
        <values>
          <value t="str">
            <val>CONT</val>
          </value>
        </values>
      </ddeItem>
      <ddeItem name="NQ.EQNQ.1155@symbol" advise="1">
        <values>
          <value t="str">
            <val>CERN</val>
          </value>
        </values>
      </ddeItem>
      <ddeItem name="NQ.EQNQ.1155@trade_count" advise="1">
        <values>
          <value t="nil">
            <val>1</val>
          </value>
        </values>
      </ddeItem>
      <ddeItem name="NQ.EQNQ.1155@trade_time" advise="1">
        <values>
          <value t="str">
            <val>22.00.00</val>
          </value>
        </values>
      </ddeItem>
      <ddeItem name="NQ.EQNQ.1155@trade_volume_bi" advise="1">
        <values>
          <value>
            <val>927964</val>
          </value>
        </values>
      </ddeItem>
      <ddeItem name="NQ.EQNQ.1159@best_asiz1" advise="1">
        <values>
          <value>
            <val>100</val>
          </value>
        </values>
      </ddeItem>
      <ddeItem name="NQ.EQNQ.1159@best_ask1" advise="1">
        <values>
          <value>
            <val>100.9</val>
          </value>
        </values>
      </ddeItem>
      <ddeItem name="NQ.EQNQ.1159@best_bid1" advise="1">
        <values>
          <value>
            <val>100.71</val>
          </value>
        </values>
      </ddeItem>
      <ddeItem name="NQ.EQNQ.1159@best_bsiz1" advise="1">
        <values>
          <value>
            <val>100</val>
          </value>
        </values>
      </ddeItem>
      <ddeItem name="NQ.EQNQ.1159@exchange_name" advise="1">
        <values>
          <value t="str">
            <val>NASDAQ</val>
          </value>
        </values>
      </ddeItem>
      <ddeItem name="NQ.EQNQ.1159@instrument_name" advise="1">
        <values>
          <value t="str">
            <val>APPLIED MATERIALS INC.</val>
          </value>
        </values>
      </ddeItem>
      <ddeItem name="NQ.EQNQ.1159@last_price" advise="1">
        <values>
          <value>
            <val>100.71</val>
          </value>
        </values>
      </ddeItem>
      <ddeItem name="NQ.EQNQ.1159@lst_prctck" advise="1">
        <values>
          <value t="str">
            <val>+ + + - +</val>
          </value>
        </values>
      </ddeItem>
      <ddeItem name="NQ.EQNQ.1159@percentage_change" advise="1">
        <values>
          <value>
            <val>-2.4500000000000002</val>
          </value>
        </values>
      </ddeItem>
      <ddeItem name="NQ.EQNQ.1159@prc_ql_cd" advise="1">
        <values>
          <value t="str">
            <val>CONT</val>
          </value>
        </values>
      </ddeItem>
      <ddeItem name="NQ.EQNQ.1159@symbol" advise="1">
        <values>
          <value t="str">
            <val>AMAT</val>
          </value>
        </values>
      </ddeItem>
      <ddeItem name="NQ.EQNQ.1159@trade_count" advise="1">
        <values>
          <value t="nil">
            <val>1</val>
          </value>
        </values>
      </ddeItem>
      <ddeItem name="NQ.EQNQ.1159@trade_time" advise="1">
        <values>
          <value t="str">
            <val>22.00.00</val>
          </value>
        </values>
      </ddeItem>
      <ddeItem name="NQ.EQNQ.1159@trade_volume_bi" advise="1">
        <values>
          <value>
            <val>6342941</val>
          </value>
        </values>
      </ddeItem>
      <ddeItem name="NQ.EQNQ.11680@best_asiz1" advise="1">
        <values>
          <value>
            <val>100</val>
          </value>
        </values>
      </ddeItem>
      <ddeItem name="NQ.EQNQ.11680@best_ask1" advise="1">
        <values>
          <value>
            <val>508</val>
          </value>
        </values>
      </ddeItem>
      <ddeItem name="NQ.EQNQ.11680@best_bid1" advise="1">
        <values>
          <value>
            <val>498.01</val>
          </value>
        </values>
      </ddeItem>
      <ddeItem name="NQ.EQNQ.11680@best_bsiz1" advise="1">
        <values>
          <value>
            <val>100</val>
          </value>
        </values>
      </ddeItem>
      <ddeItem name="NQ.EQNQ.11680@exchange_name" advise="1">
        <values>
          <value t="str">
            <val>NASDAQ</val>
          </value>
        </values>
      </ddeItem>
      <ddeItem name="NQ.EQNQ.11680@instrument_name" advise="1">
        <values>
          <value t="str">
            <val>IDEXX LABS</val>
          </value>
        </values>
      </ddeItem>
      <ddeItem name="NQ.EQNQ.11680@last_price" advise="1">
        <values>
          <value>
            <val>502.64</val>
          </value>
        </values>
      </ddeItem>
      <ddeItem name="NQ.EQNQ.11680@lst_prctck" advise="1">
        <values>
          <value t="str">
            <val>+ + + - +</val>
          </value>
        </values>
      </ddeItem>
      <ddeItem name="NQ.EQNQ.11680@percentage_change" advise="1">
        <values>
          <value>
            <val>1.75</val>
          </value>
        </values>
      </ddeItem>
      <ddeItem name="NQ.EQNQ.11680@prc_ql_cd" advise="1">
        <values>
          <value t="str">
            <val>CONT</val>
          </value>
        </values>
      </ddeItem>
      <ddeItem name="NQ.EQNQ.11680@symbol" advise="1">
        <values>
          <value t="str">
            <val>IDXX</val>
          </value>
        </values>
      </ddeItem>
      <ddeItem name="NQ.EQNQ.11680@trade_count" advise="1">
        <values>
          <value t="nil">
            <val>1</val>
          </value>
        </values>
      </ddeItem>
      <ddeItem name="NQ.EQNQ.11680@trade_time" advise="1">
        <values>
          <value t="str">
            <val>22.00.00</val>
          </value>
        </values>
      </ddeItem>
      <ddeItem name="NQ.EQNQ.11680@trade_volume_bi" advise="1">
        <values>
          <value>
            <val>297793</val>
          </value>
        </values>
      </ddeItem>
      <ddeItem name="NQ.EQNQ.1186@best_asiz1" advise="1">
        <values>
          <value>
            <val>100</val>
          </value>
        </values>
      </ddeItem>
      <ddeItem name="NQ.EQNQ.1186@best_ask1" advise="1">
        <values>
          <value>
            <val>292.49</val>
          </value>
        </values>
      </ddeItem>
      <ddeItem name="NQ.EQNQ.1186@best_bid1" advise="1">
        <values>
          <value>
            <val>288</val>
          </value>
        </values>
      </ddeItem>
      <ddeItem name="NQ.EQNQ.1186@best_bsiz1" advise="1">
        <values>
          <value>
            <val>100</val>
          </value>
        </values>
      </ddeItem>
      <ddeItem name="NQ.EQNQ.1186@exchange_name" advise="1">
        <values>
          <value t="str">
            <val>NASDAQ</val>
          </value>
        </values>
      </ddeItem>
      <ddeItem name="NQ.EQNQ.1186@instrument_name" advise="1">
        <values>
          <value t="str">
            <val>KLA-TENCOR CORPORATION</val>
          </value>
        </values>
      </ddeItem>
      <ddeItem name="NQ.EQNQ.1186@last_price" advise="1">
        <values>
          <value>
            <val>288.02999999999997</val>
          </value>
        </values>
      </ddeItem>
      <ddeItem name="NQ.EQNQ.1186@lst_prctck" advise="1">
        <values>
          <value t="str">
            <val>- - + + -</val>
          </value>
        </values>
      </ddeItem>
      <ddeItem name="NQ.EQNQ.1186@percentage_change" advise="1">
        <values>
          <value>
            <val>-2.11</val>
          </value>
        </values>
      </ddeItem>
      <ddeItem name="NQ.EQNQ.1186@prc_ql_cd" advise="1">
        <values>
          <value t="str">
            <val>CONT</val>
          </value>
        </values>
      </ddeItem>
      <ddeItem name="NQ.EQNQ.1186@symbol" advise="1">
        <values>
          <value t="str">
            <val>KLAC</val>
          </value>
        </values>
      </ddeItem>
      <ddeItem name="NQ.EQNQ.1186@trade_count" advise="1">
        <values>
          <value t="nil">
            <val>1</val>
          </value>
        </values>
      </ddeItem>
      <ddeItem name="NQ.EQNQ.1186@trade_time" advise="1">
        <values>
          <value t="str">
            <val>22.00.00</val>
          </value>
        </values>
      </ddeItem>
      <ddeItem name="NQ.EQNQ.1186@trade_volume_bi" advise="1">
        <values>
          <value>
            <val>808143</val>
          </value>
        </values>
      </ddeItem>
      <ddeItem name="NQ.EQNQ.1221@best_asiz1" advise="1">
        <values>
          <value>
            <val>100</val>
          </value>
        </values>
      </ddeItem>
      <ddeItem name="NQ.EQNQ.1221@best_ask1" advise="1">
        <values>
          <value>
            <val>169.38</val>
          </value>
        </values>
      </ddeItem>
      <ddeItem name="NQ.EQNQ.1221@best_bid1" advise="1">
        <values>
          <value>
            <val>167</val>
          </value>
        </values>
      </ddeItem>
      <ddeItem name="NQ.EQNQ.1221@best_bsiz1" advise="1">
        <values>
          <value>
            <val>100</val>
          </value>
        </values>
      </ddeItem>
      <ddeItem name="NQ.EQNQ.1221@exchange_name" advise="1">
        <values>
          <value t="str">
            <val>NASDAQ</val>
          </value>
        </values>
      </ddeItem>
      <ddeItem name="NQ.EQNQ.1221@instrument_name" advise="1">
        <values>
          <value t="str">
            <val>AUTOMATIC DATA PROCESSING</val>
          </value>
        </values>
      </ddeItem>
      <ddeItem name="NQ.EQNQ.1221@last_price" advise="1">
        <values>
          <value>
            <val>167.28</val>
          </value>
        </values>
      </ddeItem>
      <ddeItem name="NQ.EQNQ.1221@lst_prctck" advise="1">
        <values>
          <value t="str">
            <val>+ - + + +</val>
          </value>
        </values>
      </ddeItem>
      <ddeItem name="NQ.EQNQ.1221@percentage_change" advise="1">
        <values>
          <value>
            <val>-1.92</val>
          </value>
        </values>
      </ddeItem>
      <ddeItem name="NQ.EQNQ.1221@prc_ql_cd" advise="1">
        <values>
          <value t="str">
            <val>CONT</val>
          </value>
        </values>
      </ddeItem>
      <ddeItem name="NQ.EQNQ.1221@symbol" advise="1">
        <values>
          <value t="str">
            <val>ADP</val>
          </value>
        </values>
      </ddeItem>
      <ddeItem name="NQ.EQNQ.1221@trade_count" advise="1">
        <values>
          <value t="nil">
            <val>1</val>
          </value>
        </values>
      </ddeItem>
      <ddeItem name="NQ.EQNQ.1221@trade_time" advise="1">
        <values>
          <value t="str">
            <val>22.00.00</val>
          </value>
        </values>
      </ddeItem>
      <ddeItem name="NQ.EQNQ.1221@trade_volume_bi" advise="1">
        <values>
          <value>
            <val>1534840</val>
          </value>
        </values>
      </ddeItem>
      <ddeItem name="NQ.EQNQ.1252@best_asiz1" advise="1">
        <values>
          <value>
            <val>100</val>
          </value>
        </values>
      </ddeItem>
      <ddeItem name="NQ.EQNQ.1252@best_ask1" advise="1">
        <values>
          <value>
            <val>81.180000000000007</val>
          </value>
        </values>
      </ddeItem>
      <ddeItem name="NQ.EQNQ.1252@best_bid1" advise="1">
        <values>
          <value>
            <val>81.05</val>
          </value>
        </values>
      </ddeItem>
      <ddeItem name="NQ.EQNQ.1252@best_bsiz1" advise="1">
        <values>
          <value>
            <val>600</val>
          </value>
        </values>
      </ddeItem>
      <ddeItem name="NQ.EQNQ.1252@exchange_name" advise="1">
        <values>
          <value t="str">
            <val>NASDAQ</val>
          </value>
        </values>
      </ddeItem>
      <ddeItem name="NQ.EQNQ.1252@instrument_name" advise="1">
        <values>
          <value t="str">
            <val>MICRON TECNOLOGY INC.</val>
          </value>
        </values>
      </ddeItem>
      <ddeItem name="NQ.EQNQ.1252@last_price" advise="1">
        <values>
          <value>
            <val>81.099999999999994</val>
          </value>
        </values>
      </ddeItem>
      <ddeItem name="NQ.EQNQ.1252@lst_prctck" advise="1">
        <values>
          <value t="str">
            <val>- + - - -</val>
          </value>
        </values>
      </ddeItem>
      <ddeItem name="NQ.EQNQ.1252@percentage_change" advise="1">
        <values>
          <value>
            <val>-0.18</val>
          </value>
        </values>
      </ddeItem>
      <ddeItem name="NQ.EQNQ.1252@prc_ql_cd" advise="1">
        <values>
          <value t="str">
            <val>CONT</val>
          </value>
        </values>
      </ddeItem>
      <ddeItem name="NQ.EQNQ.1252@symbol" advise="1">
        <values>
          <value t="str">
            <val>MU</val>
          </value>
        </values>
      </ddeItem>
      <ddeItem name="NQ.EQNQ.1252@trade_count" advise="1">
        <values>
          <value t="nil">
            <val>1</val>
          </value>
        </values>
      </ddeItem>
      <ddeItem name="NQ.EQNQ.1252@trade_time" advise="1">
        <values>
          <value t="str">
            <val>22.00.00</val>
          </value>
        </values>
      </ddeItem>
      <ddeItem name="NQ.EQNQ.1252@trade_volume_bi" advise="1">
        <values>
          <value>
            <val>10924861</val>
          </value>
        </values>
      </ddeItem>
      <ddeItem name="NQ.EQNQ.12635@best_asiz1" advise="1">
        <values>
          <value>
            <val>100</val>
          </value>
        </values>
      </ddeItem>
      <ddeItem name="NQ.EQNQ.12635@best_ask1" advise="1">
        <values>
          <value>
            <val>121.99</val>
          </value>
        </values>
      </ddeItem>
      <ddeItem name="NQ.EQNQ.12635@best_bid1" advise="1">
        <values>
          <value>
            <val>109.35</val>
          </value>
        </values>
      </ddeItem>
      <ddeItem name="NQ.EQNQ.12635@best_bsiz1" advise="1">
        <values>
          <value>
            <val>100</val>
          </value>
        </values>
      </ddeItem>
      <ddeItem name="NQ.EQNQ.12635@exchange_name" advise="1">
        <values>
          <value t="str">
            <val>NASDAQ</val>
          </value>
        </values>
      </ddeItem>
      <ddeItem name="NQ.EQNQ.12635@instrument_name" advise="1">
        <values>
          <value t="str">
            <val>ROSS STORES</val>
          </value>
        </values>
      </ddeItem>
      <ddeItem name="NQ.EQNQ.12635@last_price" advise="1">
        <values>
          <value>
            <val>118.72</val>
          </value>
        </values>
      </ddeItem>
      <ddeItem name="NQ.EQNQ.12635@lst_prctck" advise="1">
        <values>
          <value t="str">
            <val>+ - + - +</val>
          </value>
        </values>
      </ddeItem>
      <ddeItem name="NQ.EQNQ.12635@percentage_change" advise="1">
        <values>
          <value>
            <val>-0.03</val>
          </value>
        </values>
      </ddeItem>
      <ddeItem name="NQ.EQNQ.12635@prc_ql_cd" advise="1">
        <values>
          <value t="str">
            <val>CONT</val>
          </value>
        </values>
      </ddeItem>
      <ddeItem name="NQ.EQNQ.12635@symbol" advise="1">
        <values>
          <value t="str">
            <val>ROST</val>
          </value>
        </values>
      </ddeItem>
      <ddeItem name="NQ.EQNQ.12635@trade_count" advise="1">
        <values>
          <value t="nil">
            <val>1</val>
          </value>
        </values>
      </ddeItem>
      <ddeItem name="NQ.EQNQ.12635@trade_time" advise="1">
        <values>
          <value t="str">
            <val>22.00.00</val>
          </value>
        </values>
      </ddeItem>
      <ddeItem name="NQ.EQNQ.12635@trade_volume_bi" advise="1">
        <values>
          <value>
            <val>1389041</val>
          </value>
        </values>
      </ddeItem>
      <ddeItem name="NQ.EQNQ.12921@best_asiz1" advise="1">
        <values>
          <value>
            <val>100</val>
          </value>
        </values>
      </ddeItem>
      <ddeItem name="NQ.EQNQ.12921@best_ask1" advise="1">
        <values>
          <value>
            <val>274.58999999999997</val>
          </value>
        </values>
      </ddeItem>
      <ddeItem name="NQ.EQNQ.12921@best_bid1" advise="1">
        <values>
          <value>
            <val>267.2</val>
          </value>
        </values>
      </ddeItem>
      <ddeItem name="NQ.EQNQ.12921@best_bsiz1" advise="1">
        <values>
          <value>
            <val>100</val>
          </value>
        </values>
      </ddeItem>
      <ddeItem name="NQ.EQNQ.12921@exchange_name" advise="1">
        <values>
          <value t="str">
            <val>NASDAQ</val>
          </value>
        </values>
      </ddeItem>
      <ddeItem name="NQ.EQNQ.12921@instrument_name" advise="1">
        <values>
          <value t="str">
            <val>SYNOPSYS</val>
          </value>
        </values>
      </ddeItem>
      <ddeItem name="NQ.EQNQ.12921@last_price" advise="1">
        <values>
          <value>
            <val>272.92</val>
          </value>
        </values>
      </ddeItem>
      <ddeItem name="NQ.EQNQ.12921@lst_prctck" advise="1">
        <values>
          <value t="str">
            <val>- - + + +</val>
          </value>
        </values>
      </ddeItem>
      <ddeItem name="NQ.EQNQ.12921@percentage_change" advise="1">
        <values>
          <value>
            <val>1.05</val>
          </value>
        </values>
      </ddeItem>
      <ddeItem name="NQ.EQNQ.12921@prc_ql_cd" advise="1">
        <values>
          <value t="str">
            <val>CONT</val>
          </value>
        </values>
      </ddeItem>
      <ddeItem name="NQ.EQNQ.12921@symbol" advise="1">
        <values>
          <value t="str">
            <val>SNPS</val>
          </value>
        </values>
      </ddeItem>
      <ddeItem name="NQ.EQNQ.12921@trade_count" advise="1">
        <values>
          <value t="nil">
            <val>1</val>
          </value>
        </values>
      </ddeItem>
      <ddeItem name="NQ.EQNQ.12921@trade_time" advise="1">
        <values>
          <value t="str">
            <val>22.00.00</val>
          </value>
        </values>
      </ddeItem>
      <ddeItem name="NQ.EQNQ.12921@trade_volume_bi" advise="1">
        <values>
          <value>
            <val>600621</val>
          </value>
        </values>
      </ddeItem>
      <ddeItem name="NQ.EQNQ.1325@best_asiz1" advise="1">
        <values>
          <value>
            <val>100</val>
          </value>
        </values>
      </ddeItem>
      <ddeItem name="NQ.EQNQ.1325@best_ask1" advise="1">
        <values>
          <value>
            <val>354.47</val>
          </value>
        </values>
      </ddeItem>
      <ddeItem name="NQ.EQNQ.1325@best_bid1" advise="1">
        <values>
          <value>
            <val>335.74</val>
          </value>
        </values>
      </ddeItem>
      <ddeItem name="NQ.EQNQ.1325@best_bsiz1" advise="1">
        <values>
          <value>
            <val>100</val>
          </value>
        </values>
      </ddeItem>
      <ddeItem name="NQ.EQNQ.1325@exchange_name" advise="1">
        <values>
          <value t="str">
            <val>NASDAQ</val>
          </value>
        </values>
      </ddeItem>
      <ddeItem name="NQ.EQNQ.1325@instrument_name" advise="1">
        <values>
          <value t="str">
            <val>CINTAS</val>
          </value>
        </values>
      </ddeItem>
      <ddeItem name="NQ.EQNQ.1325@last_price" advise="1">
        <values>
          <value>
            <val>344.98</val>
          </value>
        </values>
      </ddeItem>
      <ddeItem name="NQ.EQNQ.1325@lst_prctck" advise="1">
        <values>
          <value t="str">
            <val>- - + + +</val>
          </value>
        </values>
      </ddeItem>
      <ddeItem name="NQ.EQNQ.1325@percentage_change" advise="1">
        <values>
          <value>
            <val>1.99</val>
          </value>
        </values>
      </ddeItem>
      <ddeItem name="NQ.EQNQ.1325@prc_ql_cd" advise="1">
        <values>
          <value t="str">
            <val>CONT</val>
          </value>
        </values>
      </ddeItem>
      <ddeItem name="NQ.EQNQ.1325@symbol" advise="1">
        <values>
          <value t="str">
            <val>CTAS</val>
          </value>
        </values>
      </ddeItem>
      <ddeItem name="NQ.EQNQ.1325@trade_count" advise="1">
        <values>
          <value t="nil">
            <val>1</val>
          </value>
        </values>
      </ddeItem>
      <ddeItem name="NQ.EQNQ.1325@trade_time" advise="1">
        <values>
          <value t="str">
            <val>22.00.00</val>
          </value>
        </values>
      </ddeItem>
      <ddeItem name="NQ.EQNQ.1325@trade_volume_bi" advise="1">
        <values>
          <value>
            <val>419426</val>
          </value>
        </values>
      </ddeItem>
      <ddeItem name="NQ.EQNQ.1348@best_asiz1" advise="1">
        <values>
          <value>
            <val>200</val>
          </value>
        </values>
      </ddeItem>
      <ddeItem name="NQ.EQNQ.1348@best_ask1" advise="1">
        <values>
          <value>
            <val>92.15</val>
          </value>
        </values>
      </ddeItem>
      <ddeItem name="NQ.EQNQ.1348@best_bid1" advise="1">
        <values>
          <value>
            <val>90.41</val>
          </value>
        </values>
      </ddeItem>
      <ddeItem name="NQ.EQNQ.1348@best_bsiz1" advise="1">
        <values>
          <value>
            <val>300</val>
          </value>
        </values>
      </ddeItem>
      <ddeItem name="NQ.EQNQ.1348@exchange_name" advise="1">
        <values>
          <value t="str">
            <val>NASDAQ</val>
          </value>
        </values>
      </ddeItem>
      <ddeItem name="NQ.EQNQ.1348@instrument_name" advise="1">
        <values>
          <value t="str">
            <val>PAYCHEX INC.</val>
          </value>
        </values>
      </ddeItem>
      <ddeItem name="NQ.EQNQ.1348@last_price" advise="1">
        <values>
          <value>
            <val>91.63</val>
          </value>
        </values>
      </ddeItem>
      <ddeItem name="NQ.EQNQ.1348@lst_prctck" advise="1">
        <values>
          <value t="str">
            <val>+ - + + -</val>
          </value>
        </values>
      </ddeItem>
      <ddeItem name="NQ.EQNQ.1348@percentage_change" advise="1">
        <values>
          <value>
            <val>0.05</val>
          </value>
        </values>
      </ddeItem>
      <ddeItem name="NQ.EQNQ.1348@prc_ql_cd" advise="1">
        <values>
          <value t="str">
            <val>CONT</val>
          </value>
        </values>
      </ddeItem>
      <ddeItem name="NQ.EQNQ.1348@symbol" advise="1">
        <values>
          <value t="str">
            <val>PAYX</val>
          </value>
        </values>
      </ddeItem>
      <ddeItem name="NQ.EQNQ.1348@trade_count" advise="1">
        <values>
          <value t="nil">
            <val>1</val>
          </value>
        </values>
      </ddeItem>
      <ddeItem name="NQ.EQNQ.1348@trade_time" advise="1">
        <values>
          <value t="str">
            <val>22.00.00</val>
          </value>
        </values>
      </ddeItem>
      <ddeItem name="NQ.EQNQ.1348@trade_volume_bi" advise="1">
        <values>
          <value>
            <val>1059889</val>
          </value>
        </values>
      </ddeItem>
      <ddeItem name="NQ.EQNQ.1354@best_asiz1" advise="1">
        <values>
          <value>
            <val>500</val>
          </value>
        </values>
      </ddeItem>
      <ddeItem name="NQ.EQNQ.1354@best_ask1" advise="1">
        <values>
          <value>
            <val>62.38</val>
          </value>
        </values>
      </ddeItem>
      <ddeItem name="NQ.EQNQ.1354@best_bid1" advise="1">
        <values>
          <value>
            <val>62.3</val>
          </value>
        </values>
      </ddeItem>
      <ddeItem name="NQ.EQNQ.1354@best_bsiz1" advise="1">
        <values>
          <value>
            <val>700</val>
          </value>
        </values>
      </ddeItem>
      <ddeItem name="NQ.EQNQ.1354@exchange_name" advise="1">
        <values>
          <value t="str">
            <val>NASDAQ</val>
          </value>
        </values>
      </ddeItem>
      <ddeItem name="NQ.EQNQ.1354@instrument_name" advise="1">
        <values>
          <value t="str">
            <val>EBAY INC.</val>
          </value>
        </values>
      </ddeItem>
      <ddeItem name="NQ.EQNQ.1354@last_price" advise="1">
        <values>
          <value>
            <val>62.23</val>
          </value>
        </values>
      </ddeItem>
      <ddeItem name="NQ.EQNQ.1354@lst_prctck" advise="1">
        <values>
          <value t="str">
            <val>- - + - -</val>
          </value>
        </values>
      </ddeItem>
      <ddeItem name="NQ.EQNQ.1354@percentage_change" advise="1">
        <values>
          <value>
            <val>1.82</val>
          </value>
        </values>
      </ddeItem>
      <ddeItem name="NQ.EQNQ.1354@prc_ql_cd" advise="1">
        <values>
          <value t="str">
            <val>CONT</val>
          </value>
        </values>
      </ddeItem>
      <ddeItem name="NQ.EQNQ.1354@symbol" advise="1">
        <values>
          <value t="str">
            <val>EBAY</val>
          </value>
        </values>
      </ddeItem>
      <ddeItem name="NQ.EQNQ.1354@trade_count" advise="1">
        <values>
          <value t="nil">
            <val>1</val>
          </value>
        </values>
      </ddeItem>
      <ddeItem name="NQ.EQNQ.1354@trade_time" advise="1">
        <values>
          <value t="str">
            <val>22.00.01</val>
          </value>
        </values>
      </ddeItem>
      <ddeItem name="NQ.EQNQ.1354@trade_volume_bi" advise="1">
        <values>
          <value>
            <val>12682785</val>
          </value>
        </values>
      </ddeItem>
      <ddeItem name="NQ.EQNQ.136686@best_asiz1" advise="1">
        <values>
          <value>
            <val>200</val>
          </value>
        </values>
      </ddeItem>
      <ddeItem name="NQ.EQNQ.136686@best_ask1" advise="1">
        <values>
          <value>
            <val>334.46</val>
          </value>
        </values>
      </ddeItem>
      <ddeItem name="NQ.EQNQ.136686@best_bid1" advise="1">
        <values>
          <value>
            <val>334</val>
          </value>
        </values>
      </ddeItem>
      <ddeItem name="NQ.EQNQ.136686@best_bsiz1" advise="1">
        <values>
          <value>
            <val>100</val>
          </value>
        </values>
      </ddeItem>
      <ddeItem name="NQ.EQNQ.136686@exchange_name" advise="1">
        <values>
          <value t="str">
            <val>NASDAQ</val>
          </value>
        </values>
      </ddeItem>
      <ddeItem name="NQ.EQNQ.136686@instrument_name" advise="1">
        <values>
          <value t="str">
            <val>LULULEMON ATHLETICA ORD</val>
          </value>
        </values>
      </ddeItem>
      <ddeItem name="NQ.EQNQ.136686@last_price" advise="1">
        <values>
          <value>
            <val>334.08</val>
          </value>
        </values>
      </ddeItem>
      <ddeItem name="NQ.EQNQ.136686@lst_prctck" advise="1">
        <values>
          <value t="str">
            <val>+ + - + -</val>
          </value>
        </values>
      </ddeItem>
      <ddeItem name="NQ.EQNQ.136686@percentage_change" advise="1">
        <values>
          <value>
            <val>-1.33</val>
          </value>
        </values>
      </ddeItem>
      <ddeItem name="NQ.EQNQ.136686@prc_ql_cd" advise="1">
        <values>
          <value t="str">
            <val>CONT</val>
          </value>
        </values>
      </ddeItem>
      <ddeItem name="NQ.EQNQ.136686@symbol" advise="1">
        <values>
          <value t="str">
            <val>LULU</val>
          </value>
        </values>
      </ddeItem>
      <ddeItem name="NQ.EQNQ.136686@trade_count" advise="1">
        <values>
          <value t="nil">
            <val>1</val>
          </value>
        </values>
      </ddeItem>
      <ddeItem name="NQ.EQNQ.136686@trade_time" advise="1">
        <values>
          <value t="str">
            <val>22.00.01</val>
          </value>
        </values>
      </ddeItem>
      <ddeItem name="NQ.EQNQ.136686@trade_volume_bi" advise="1">
        <values>
          <value>
            <val>1222206</val>
          </value>
        </values>
      </ddeItem>
      <ddeItem name="NQ.EQNQ.137369@best_asiz1" advise="1">
        <values>
          <value>
            <val>100</val>
          </value>
        </values>
      </ddeItem>
      <ddeItem name="NQ.EQNQ.137369@best_ask1" advise="1">
        <values>
          <value>
            <val>1922.99</val>
          </value>
        </values>
      </ddeItem>
      <ddeItem name="NQ.EQNQ.137369@best_bid1" advise="1">
        <values>
          <value>
            <val>1912</val>
          </value>
        </values>
      </ddeItem>
      <ddeItem name="NQ.EQNQ.137369@best_bsiz1" advise="1">
        <values>
          <value>
            <val>200</val>
          </value>
        </values>
      </ddeItem>
      <ddeItem name="NQ.EQNQ.137369@exchange_name" advise="1">
        <values>
          <value t="str">
            <val>NASDAQ</val>
          </value>
        </values>
      </ddeItem>
      <ddeItem name="NQ.EQNQ.137369@instrument_name" advise="1">
        <values>
          <value t="str">
            <val>MERCADOLIBRE ORD</val>
          </value>
        </values>
      </ddeItem>
      <ddeItem name="NQ.EQNQ.137369@last_price" advise="1">
        <values>
          <value>
            <val>1918.13</val>
          </value>
        </values>
      </ddeItem>
      <ddeItem name="NQ.EQNQ.137369@lst_prctck" advise="1">
        <values>
          <value t="str">
            <val>- + - - -</val>
          </value>
        </values>
      </ddeItem>
      <ddeItem name="NQ.EQNQ.137369@percentage_change" advise="1">
        <values>
          <value>
            <val>1.31</val>
          </value>
        </values>
      </ddeItem>
      <ddeItem name="NQ.EQNQ.137369@prc_ql_cd" advise="1">
        <values>
          <value t="str">
            <val>CONT</val>
          </value>
        </values>
      </ddeItem>
      <ddeItem name="NQ.EQNQ.137369@symbol" advise="1">
        <values>
          <value t="str">
            <val>MELI</val>
          </value>
        </values>
      </ddeItem>
      <ddeItem name="NQ.EQNQ.137369@trade_count" advise="1">
        <values>
          <value t="nil">
            <val>1</val>
          </value>
        </values>
      </ddeItem>
      <ddeItem name="NQ.EQNQ.137369@trade_time" advise="1">
        <values>
          <value t="str">
            <val>22.00.00</val>
          </value>
        </values>
      </ddeItem>
      <ddeItem name="NQ.EQNQ.137369@trade_volume_bi" advise="1">
        <values>
          <value>
            <val>303041</val>
          </value>
        </values>
      </ddeItem>
      <ddeItem name="NQ.EQNQ.142@best_asiz1" advise="1">
        <values>
          <value>
            <val>100</val>
          </value>
        </values>
      </ddeItem>
      <ddeItem name="NQ.EQNQ.142@best_ask1" advise="1">
        <values>
          <value>
            <val>87.9</val>
          </value>
        </values>
      </ddeItem>
      <ddeItem name="NQ.EQNQ.142@best_bid1" advise="1">
        <values>
          <value>
            <val>87.87</val>
          </value>
        </values>
      </ddeItem>
      <ddeItem name="NQ.EQNQ.142@best_bsiz1" advise="1">
        <values>
          <value>
            <val>400</val>
          </value>
        </values>
      </ddeItem>
      <ddeItem name="NQ.EQNQ.142@exchange_name" advise="1">
        <values>
          <value t="str">
            <val>NASDAQ</val>
          </value>
        </values>
      </ddeItem>
      <ddeItem name="NQ.EQNQ.142@instrument_name" advise="1">
        <values>
          <value t="str">
            <val>ADVANCED MICRO DEVICES INC.</val>
          </value>
        </values>
      </ddeItem>
      <ddeItem name="NQ.EQNQ.142@last_price" advise="1">
        <values>
          <value>
            <val>87.9</val>
          </value>
        </values>
      </ddeItem>
      <ddeItem name="NQ.EQNQ.142@lst_prctck" advise="1">
        <values>
          <value t="str">
            <val>+ - - - -</val>
          </value>
        </values>
      </ddeItem>
      <ddeItem name="NQ.EQNQ.142@percentage_change" advise="1">
        <values>
          <value>
            <val>7.0000000000000007E-2</val>
          </value>
        </values>
      </ddeItem>
      <ddeItem name="NQ.EQNQ.142@prc_ql_cd" advise="1">
        <values>
          <value t="str">
            <val>CONT</val>
          </value>
        </values>
      </ddeItem>
      <ddeItem name="NQ.EQNQ.142@symbol" advise="1">
        <values>
          <value t="str">
            <val>AMD</val>
          </value>
        </values>
      </ddeItem>
      <ddeItem name="NQ.EQNQ.142@trade_count" advise="1">
        <values>
          <value t="nil">
            <val>1</val>
          </value>
        </values>
      </ddeItem>
      <ddeItem name="NQ.EQNQ.142@trade_time" advise="1">
        <values>
          <value t="str">
            <val>22.00.00</val>
          </value>
        </values>
      </ddeItem>
      <ddeItem name="NQ.EQNQ.142@trade_volume_bi" advise="1">
        <values>
          <value>
            <val>29715017</val>
          </value>
        </values>
      </ddeItem>
      <ddeItem name="NQ.EQNQ.1453@best_asiz1" advise="1">
        <values>
          <value>
            <val>100</val>
          </value>
        </values>
      </ddeItem>
      <ddeItem name="NQ.EQNQ.1453@best_ask1" advise="1">
        <values>
          <value>
            <val>390.97</val>
          </value>
        </values>
      </ddeItem>
      <ddeItem name="NQ.EQNQ.1453@best_bid1" advise="1">
        <values>
          <value>
            <val>383.2</val>
          </value>
        </values>
      </ddeItem>
      <ddeItem name="NQ.EQNQ.1453@best_bsiz1" advise="1">
        <values>
          <value>
            <val>100</val>
          </value>
        </values>
      </ddeItem>
      <ddeItem name="NQ.EQNQ.1453@exchange_name" advise="1">
        <values>
          <value t="str">
            <val>NASDAQ</val>
          </value>
        </values>
      </ddeItem>
      <ddeItem name="NQ.EQNQ.1453@instrument_name" advise="1">
        <values>
          <value t="str">
            <val>INTUIT INC.</val>
          </value>
        </values>
      </ddeItem>
      <ddeItem name="NQ.EQNQ.1453@last_price" advise="1">
        <values>
          <value>
            <val>389.38</val>
          </value>
        </values>
      </ddeItem>
      <ddeItem name="NQ.EQNQ.1453@lst_prctck" advise="1">
        <values>
          <value t="str">
            <val>- + - + -</val>
          </value>
        </values>
      </ddeItem>
      <ddeItem name="NQ.EQNQ.1453@percentage_change" advise="1">
        <values>
          <value>
            <val>-0.85</val>
          </value>
        </values>
      </ddeItem>
      <ddeItem name="NQ.EQNQ.1453@prc_ql_cd" advise="1">
        <values>
          <value t="str">
            <val>CONT</val>
          </value>
        </values>
      </ddeItem>
      <ddeItem name="NQ.EQNQ.1453@symbol" advise="1">
        <values>
          <value t="str">
            <val>INTU</val>
          </value>
        </values>
      </ddeItem>
      <ddeItem name="NQ.EQNQ.1453@trade_count" advise="1">
        <values>
          <value t="nil">
            <val>1</val>
          </value>
        </values>
      </ddeItem>
      <ddeItem name="NQ.EQNQ.1453@trade_time" advise="1">
        <values>
          <value t="str">
            <val>22.00.00</val>
          </value>
        </values>
      </ddeItem>
      <ddeItem name="NQ.EQNQ.1453@trade_volume_bi" advise="1">
        <values>
          <value>
            <val>866526</val>
          </value>
        </values>
      </ddeItem>
      <ddeItem name="NQ.EQNQ.1493@best_asiz1" advise="1">
        <values>
          <value>
            <val>100</val>
          </value>
        </values>
      </ddeItem>
      <ddeItem name="NQ.EQNQ.1493@best_ask1" advise="1">
        <values>
          <value>
            <val>92.28</val>
          </value>
        </values>
      </ddeItem>
      <ddeItem name="NQ.EQNQ.1493@best_bid1" advise="1">
        <values>
          <value>
            <val>89</val>
          </value>
        </values>
      </ddeItem>
      <ddeItem name="NQ.EQNQ.1493@best_bsiz1" advise="1">
        <values>
          <value>
            <val>100</val>
          </value>
        </values>
      </ddeItem>
      <ddeItem name="NQ.EQNQ.1493@exchange_name" advise="1">
        <values>
          <value t="str">
            <val>NASDAQ</val>
          </value>
        </values>
      </ddeItem>
      <ddeItem name="NQ.EQNQ.1493@instrument_name" advise="1">
        <values>
          <value t="str">
            <val>INCYTE CORP</val>
          </value>
        </values>
      </ddeItem>
      <ddeItem name="NQ.EQNQ.1493@last_price" advise="1">
        <values>
          <value>
            <val>90.24</val>
          </value>
        </values>
      </ddeItem>
      <ddeItem name="NQ.EQNQ.1493@lst_prctck" advise="1">
        <values>
          <value t="str">
            <val>- + - - +</val>
          </value>
        </values>
      </ddeItem>
      <ddeItem name="NQ.EQNQ.1493@percentage_change" advise="1">
        <values>
          <value>
            <val>-0.74</val>
          </value>
        </values>
      </ddeItem>
      <ddeItem name="NQ.EQNQ.1493@prc_ql_cd" advise="1">
        <values>
          <value t="str">
            <val>CONT</val>
          </value>
        </values>
      </ddeItem>
      <ddeItem name="NQ.EQNQ.1493@symbol" advise="1">
        <values>
          <value t="str">
            <val>INCY</val>
          </value>
        </values>
      </ddeItem>
      <ddeItem name="NQ.EQNQ.1493@trade_count" advise="1">
        <values>
          <value t="nil">
            <val>1</val>
          </value>
        </values>
      </ddeItem>
      <ddeItem name="NQ.EQNQ.1493@trade_time" advise="1">
        <values>
          <value t="str">
            <val>22.00.00</val>
          </value>
        </values>
      </ddeItem>
      <ddeItem name="NQ.EQNQ.1493@trade_volume_bi" advise="1">
        <values>
          <value>
            <val>1233744</val>
          </value>
        </values>
      </ddeItem>
      <ddeItem name="NQ.EQNQ.1509@best_asiz1" advise="1">
        <values>
          <value>
            <val>100</val>
          </value>
        </values>
      </ddeItem>
      <ddeItem name="NQ.EQNQ.1509@best_ask1" advise="1">
        <values>
          <value>
            <val>89.86</val>
          </value>
        </values>
      </ddeItem>
      <ddeItem name="NQ.EQNQ.1509@best_bid1" advise="1">
        <values>
          <value>
            <val>88.82</val>
          </value>
        </values>
      </ddeItem>
      <ddeItem name="NQ.EQNQ.1509@best_bsiz1" advise="1">
        <values>
          <value>
            <val>100</val>
          </value>
        </values>
      </ddeItem>
      <ddeItem name="NQ.EQNQ.1509@exchange_name" advise="1">
        <values>
          <value t="str">
            <val>NASDAQ</val>
          </value>
        </values>
      </ddeItem>
      <ddeItem name="NQ.EQNQ.1509@instrument_name" advise="1">
        <values>
          <value t="str">
            <val>MAXIM INTEGRATED PRODUCTS INC.</val>
          </value>
        </values>
      </ddeItem>
      <ddeItem name="NQ.EQNQ.1509@last_price" advise="1">
        <values>
          <value>
            <val>89.2</val>
          </value>
        </values>
      </ddeItem>
      <ddeItem name="NQ.EQNQ.1509@lst_prctck" advise="1">
        <values>
          <value t="str">
            <val>+ - - + +</val>
          </value>
        </values>
      </ddeItem>
      <ddeItem name="NQ.EQNQ.1509@percentage_change" advise="1">
        <values>
          <value>
            <val>-0.32</val>
          </value>
        </values>
      </ddeItem>
      <ddeItem name="NQ.EQNQ.1509@prc_ql_cd" advise="1">
        <values>
          <value t="str">
            <val>CONT</val>
          </value>
        </values>
      </ddeItem>
      <ddeItem name="NQ.EQNQ.1509@symbol" advise="1">
        <values>
          <value t="str">
            <val>MXIM</val>
          </value>
        </values>
      </ddeItem>
      <ddeItem name="NQ.EQNQ.1509@trade_count" advise="1">
        <values>
          <value t="nil">
            <val>1</val>
          </value>
        </values>
      </ddeItem>
      <ddeItem name="NQ.EQNQ.1509@trade_time" advise="1">
        <values>
          <value t="str">
            <val>22.00.00</val>
          </value>
        </values>
      </ddeItem>
      <ddeItem name="NQ.EQNQ.1509@trade_volume_bi" advise="1">
        <values>
          <value>
            <val>1572663</val>
          </value>
        </values>
      </ddeItem>
      <ddeItem name="NQ.EQNQ.1521@best_asiz1" advise="1">
        <values>
          <value>
            <val>100</val>
          </value>
        </values>
      </ddeItem>
      <ddeItem name="NQ.EQNQ.1521@best_ask1" advise="1">
        <values>
          <value>
            <val>139.32</val>
          </value>
        </values>
      </ddeItem>
      <ddeItem name="NQ.EQNQ.1521@best_bid1" advise="1">
        <values>
          <value>
            <val>135.21</val>
          </value>
        </values>
      </ddeItem>
      <ddeItem name="NQ.EQNQ.1521@best_bsiz1" advise="1">
        <values>
          <value>
            <val>100</val>
          </value>
        </values>
      </ddeItem>
      <ddeItem name="NQ.EQNQ.1521@exchange_name" advise="1">
        <values>
          <value t="str">
            <val>NASDAQ</val>
          </value>
        </values>
      </ddeItem>
      <ddeItem name="NQ.EQNQ.1521@instrument_name" advise="1">
        <values>
          <value t="str">
            <val>CADENCE DESIGN</val>
          </value>
        </values>
      </ddeItem>
      <ddeItem name="NQ.EQNQ.1521@last_price" advise="1">
        <values>
          <value>
            <val>135.80000000000001</val>
          </value>
        </values>
      </ddeItem>
      <ddeItem name="NQ.EQNQ.1521@lst_prctck" advise="1">
        <values>
          <value t="str">
            <val>+ - + - +</val>
          </value>
        </values>
      </ddeItem>
      <ddeItem name="NQ.EQNQ.1521@percentage_change" advise="1">
        <values>
          <value>
            <val>-0.95</val>
          </value>
        </values>
      </ddeItem>
      <ddeItem name="NQ.EQNQ.1521@prc_ql_cd" advise="1">
        <values>
          <value t="str">
            <val>CONT</val>
          </value>
        </values>
      </ddeItem>
      <ddeItem name="NQ.EQNQ.1521@symbol" advise="1">
        <values>
          <value t="str">
            <val>CDNS</val>
          </value>
        </values>
      </ddeItem>
      <ddeItem name="NQ.EQNQ.1521@trade_count" advise="1">
        <values>
          <value t="nil">
            <val>1</val>
          </value>
        </values>
      </ddeItem>
      <ddeItem name="NQ.EQNQ.1521@trade_time" advise="1">
        <values>
          <value t="str">
            <val>22.00.00</val>
          </value>
        </values>
      </ddeItem>
      <ddeItem name="NQ.EQNQ.1521@trade_volume_bi" advise="1">
        <values>
          <value>
            <val>1801183</val>
          </value>
        </values>
      </ddeItem>
      <ddeItem name="NQ.EQNQ.15519@best_asiz1" advise="1">
        <values>
          <value>
            <val>100</val>
          </value>
        </values>
      </ddeItem>
      <ddeItem name="NQ.EQNQ.15519@best_ask1" advise="1">
        <values>
          <value>
            <val>50.15</val>
          </value>
        </values>
      </ddeItem>
      <ddeItem name="NQ.EQNQ.15519@best_bid1" advise="1">
        <values>
          <value>
            <val>50.02</val>
          </value>
        </values>
      </ddeItem>
      <ddeItem name="NQ.EQNQ.15519@best_bsiz1" advise="1">
        <values>
          <value>
            <val>100</val>
          </value>
        </values>
      </ddeItem>
      <ddeItem name="NQ.EQNQ.15519@exchange_name" advise="1">
        <values>
          <value t="str">
            <val>NASDAQ</val>
          </value>
        </values>
      </ddeItem>
      <ddeItem name="NQ.EQNQ.15519@instrument_name" advise="1">
        <values>
          <value t="str">
            <val>MARVELL TECHNOLOGY GROUP LTD</val>
          </value>
        </values>
      </ddeItem>
      <ddeItem name="NQ.EQNQ.15519@last_price" advise="1">
        <values>
          <value>
            <val>50.05</val>
          </value>
        </values>
      </ddeItem>
      <ddeItem name="NQ.EQNQ.15519@lst_prctck" advise="1">
        <values>
          <value t="str">
            <val>+ - + + +</val>
          </value>
        </values>
      </ddeItem>
      <ddeItem name="NQ.EQNQ.15519@percentage_change" advise="1">
        <values>
          <value>
            <val>-0.5</val>
          </value>
        </values>
      </ddeItem>
      <ddeItem name="NQ.EQNQ.15519@prc_ql_cd" advise="1">
        <values>
          <value t="str">
            <val>CONT</val>
          </value>
        </values>
      </ddeItem>
      <ddeItem name="NQ.EQNQ.15519@symbol" advise="1">
        <values>
          <value t="str">
            <val>MRVL</val>
          </value>
        </values>
      </ddeItem>
      <ddeItem name="NQ.EQNQ.15519@trade_count" advise="1">
        <values>
          <value t="nil">
            <val>1</val>
          </value>
        </values>
      </ddeItem>
      <ddeItem name="NQ.EQNQ.15519@trade_time" advise="1">
        <values>
          <value t="str">
            <val>22.00.00</val>
          </value>
        </values>
      </ddeItem>
      <ddeItem name="NQ.EQNQ.15519@trade_volume_bi" advise="1">
        <values>
          <value>
            <val>9290608</val>
          </value>
        </values>
      </ddeItem>
      <ddeItem name="NQ.EQNQ.15903@best_asiz1" advise="1">
        <values>
          <value>
            <val>200</val>
          </value>
        </values>
      </ddeItem>
      <ddeItem name="NQ.EQNQ.15903@best_ask1" advise="1">
        <values>
          <value>
            <val>124.99</val>
          </value>
        </values>
      </ddeItem>
      <ddeItem name="NQ.EQNQ.15903@best_bid1" advise="1">
        <values>
          <value>
            <val>121.03</val>
          </value>
        </values>
      </ddeItem>
      <ddeItem name="NQ.EQNQ.15903@best_bsiz1" advise="1">
        <values>
          <value>
            <val>200</val>
          </value>
        </values>
      </ddeItem>
      <ddeItem name="NQ.EQNQ.15903@exchange_name" advise="1">
        <values>
          <value t="str">
            <val>NASDAQ</val>
          </value>
        </values>
      </ddeItem>
      <ddeItem name="NQ.EQNQ.15903@instrument_name" advise="1">
        <values>
          <value t="str">
            <val>NETEASE ADR USD</val>
          </value>
        </values>
      </ddeItem>
      <ddeItem name="NQ.EQNQ.15903@last_price" advise="1">
        <values>
          <value>
            <val>124.02</val>
          </value>
        </values>
      </ddeItem>
      <ddeItem name="NQ.EQNQ.15903@lst_prctck" advise="1">
        <values>
          <value t="str">
            <val>- + + - +</val>
          </value>
        </values>
      </ddeItem>
      <ddeItem name="NQ.EQNQ.15903@percentage_change" advise="1">
        <values>
          <value>
            <val>1.42</val>
          </value>
        </values>
      </ddeItem>
      <ddeItem name="NQ.EQNQ.15903@prc_ql_cd" advise="1">
        <values>
          <value t="str">
            <val>CONT</val>
          </value>
        </values>
      </ddeItem>
      <ddeItem name="NQ.EQNQ.15903@symbol" advise="1">
        <values>
          <value t="str">
            <val>NTES</val>
          </value>
        </values>
      </ddeItem>
      <ddeItem name="NQ.EQNQ.15903@trade_count" advise="1">
        <values>
          <value t="nil">
            <val>1</val>
          </value>
        </values>
      </ddeItem>
      <ddeItem name="NQ.EQNQ.15903@trade_time" advise="1">
        <values>
          <value t="str">
            <val>22.00.00</val>
          </value>
        </values>
      </ddeItem>
      <ddeItem name="NQ.EQNQ.15903@trade_volume_bi" advise="1">
        <values>
          <value>
            <val>2137677</val>
          </value>
        </values>
      </ddeItem>
      <ddeItem name="NQ.EQNQ.1611@best_asiz1" advise="1">
        <values>
          <value>
            <val>100</val>
          </value>
        </values>
      </ddeItem>
      <ddeItem name="NQ.EQNQ.1611@best_ask1" advise="1">
        <values>
          <value>
            <val>543.99</val>
          </value>
        </values>
      </ddeItem>
      <ddeItem name="NQ.EQNQ.1611@best_bid1" advise="1">
        <values>
          <value>
            <val>543.5</val>
          </value>
        </values>
      </ddeItem>
      <ddeItem name="NQ.EQNQ.1611@best_bsiz1" advise="1">
        <values>
          <value>
            <val>100</val>
          </value>
        </values>
      </ddeItem>
      <ddeItem name="NQ.EQNQ.1611@exchange_name" advise="1">
        <values>
          <value t="str">
            <val>NASDAQ</val>
          </value>
        </values>
      </ddeItem>
      <ddeItem name="NQ.EQNQ.1611@instrument_name" advise="1">
        <values>
          <value t="str">
            <val>NVIDIA CORP</val>
          </value>
        </values>
      </ddeItem>
      <ddeItem name="NQ.EQNQ.1611@last_price" advise="1">
        <values>
          <value>
            <val>543.64</val>
          </value>
        </values>
      </ddeItem>
      <ddeItem name="NQ.EQNQ.1611@lst_prctck" advise="1">
        <values>
          <value t="str">
            <val>+ - - + -</val>
          </value>
        </values>
      </ddeItem>
      <ddeItem name="NQ.EQNQ.1611@percentage_change" advise="1">
        <values>
          <value>
            <val>-0.54</val>
          </value>
        </values>
      </ddeItem>
      <ddeItem name="NQ.EQNQ.1611@prc_ql_cd" advise="1">
        <values>
          <value t="str">
            <val>CONT</val>
          </value>
        </values>
      </ddeItem>
      <ddeItem name="NQ.EQNQ.1611@symbol" advise="1">
        <values>
          <value t="str">
            <val>NVDA</val>
          </value>
        </values>
      </ddeItem>
      <ddeItem name="NQ.EQNQ.1611@trade_count" advise="1">
        <values>
          <value t="nil">
            <val>1</val>
          </value>
        </values>
      </ddeItem>
      <ddeItem name="NQ.EQNQ.1611@trade_time" advise="1">
        <values>
          <value t="str">
            <val>22.00.00</val>
          </value>
        </values>
      </ddeItem>
      <ddeItem name="NQ.EQNQ.1611@trade_volume_bi" advise="1">
        <values>
          <value>
            <val>4200852</val>
          </value>
        </values>
      </ddeItem>
      <ddeItem name="NQ.EQNQ.1689963@best_asiz1" advise="1">
        <values>
          <value>
            <val>300</val>
          </value>
        </values>
      </ddeItem>
      <ddeItem name="NQ.EQNQ.1689963@best_ask1" advise="1">
        <values>
          <value>
            <val>553.71</val>
          </value>
        </values>
      </ddeItem>
      <ddeItem name="NQ.EQNQ.1689963@best_bid1" advise="1">
        <values>
          <value>
            <val>552.54</val>
          </value>
        </values>
      </ddeItem>
      <ddeItem name="NQ.EQNQ.1689963@best_bsiz1" advise="1">
        <values>
          <value>
            <val>100</val>
          </value>
        </values>
      </ddeItem>
      <ddeItem name="NQ.EQNQ.1689963@exchange_name" advise="1">
        <values>
          <value t="str">
            <val>NASDAQ</val>
          </value>
        </values>
      </ddeItem>
      <ddeItem name="NQ.EQNQ.1689963@instrument_name" advise="1">
        <values>
          <value t="str">
            <val>ASML HOLD NY REG NY REGISTERED SHS</val>
          </value>
        </values>
      </ddeItem>
      <ddeItem name="NQ.EQNQ.1689963@last_price" advise="1">
        <values>
          <value>
            <val>552.80999999999995</val>
          </value>
        </values>
      </ddeItem>
      <ddeItem name="NQ.EQNQ.1689963@lst_prctck" advise="1">
        <values>
          <value t="str">
            <val>- - + - +</val>
          </value>
        </values>
      </ddeItem>
      <ddeItem name="NQ.EQNQ.1689963@percentage_change" advise="1">
        <values>
          <value>
            <val>-0.47</val>
          </value>
        </values>
      </ddeItem>
      <ddeItem name="NQ.EQNQ.1689963@prc_ql_cd" advise="1">
        <values>
          <value t="str">
            <val>CONT</val>
          </value>
        </values>
      </ddeItem>
      <ddeItem name="NQ.EQNQ.1689963@symbol" advise="1">
        <values>
          <value t="str">
            <val>ASML</val>
          </value>
        </values>
      </ddeItem>
      <ddeItem name="NQ.EQNQ.1689963@trade_count" advise="1">
        <values>
          <value t="nil">
            <val>1</val>
          </value>
        </values>
      </ddeItem>
      <ddeItem name="NQ.EQNQ.1689963@trade_time" advise="1">
        <values>
          <value t="str">
            <val>22.00.00</val>
          </value>
        </values>
      </ddeItem>
      <ddeItem name="NQ.EQNQ.1689963@trade_volume_bi" advise="1">
        <values>
          <value>
            <val>460919</val>
          </value>
        </values>
      </ddeItem>
      <ddeItem name="NQ.EQNQ.1696338@best_asiz1" advise="1">
        <values>
          <value>
            <val>100</val>
          </value>
        </values>
      </ddeItem>
      <ddeItem name="NQ.EQNQ.1696338@best_ask1" advise="1">
        <values>
          <value>
            <val>399.99</val>
          </value>
        </values>
      </ddeItem>
      <ddeItem name="NQ.EQNQ.1696338@best_bid1" advise="1">
        <values>
          <value>
            <val>371.14</val>
          </value>
        </values>
      </ddeItem>
      <ddeItem name="NQ.EQNQ.1696338@best_bsiz1" advise="1">
        <values>
          <value>
            <val>100</val>
          </value>
        </values>
      </ddeItem>
      <ddeItem name="NQ.EQNQ.1696338@exchange_name" advise="1">
        <values>
          <value t="str">
            <val>NASDAQ</val>
          </value>
        </values>
      </ddeItem>
      <ddeItem name="NQ.EQNQ.1696338@instrument_name" advise="1">
        <values>
          <value t="str">
            <val>ANSYS</val>
          </value>
        </values>
      </ddeItem>
      <ddeItem name="NQ.EQNQ.1696338@last_price" advise="1">
        <values>
          <value>
            <val>379.48</val>
          </value>
        </values>
      </ddeItem>
      <ddeItem name="NQ.EQNQ.1696338@lst_prctck" advise="1">
        <values>
          <value t="str">
            <val>- - - - +</val>
          </value>
        </values>
      </ddeItem>
      <ddeItem name="NQ.EQNQ.1696338@percentage_change" advise="1">
        <values>
          <value>
            <val>0.55000000000000004</val>
          </value>
        </values>
      </ddeItem>
      <ddeItem name="NQ.EQNQ.1696338@prc_ql_cd" advise="1">
        <values>
          <value t="str">
            <val>CONT</val>
          </value>
        </values>
      </ddeItem>
      <ddeItem name="NQ.EQNQ.1696338@symbol" advise="1">
        <values>
          <value t="str">
            <val>ANSS</val>
          </value>
        </values>
      </ddeItem>
      <ddeItem name="NQ.EQNQ.1696338@trade_count" advise="1">
        <values>
          <value t="nil">
            <val>1</val>
          </value>
        </values>
      </ddeItem>
      <ddeItem name="NQ.EQNQ.1696338@trade_time" advise="1">
        <values>
          <value t="str">
            <val>22.00.00</val>
          </value>
        </values>
      </ddeItem>
      <ddeItem name="NQ.EQNQ.1696338@trade_volume_bi" advise="1">
        <values>
          <value>
            <val>306264</val>
          </value>
        </values>
      </ddeItem>
      <ddeItem name="NQ.EQNQ.172335@best_asiz1" advise="1">
        <values>
          <value>
            <val>500</val>
          </value>
        </values>
      </ddeItem>
      <ddeItem name="NQ.EQNQ.172335@best_ask1" advise="1">
        <values>
          <value>
            <val>105.8</val>
          </value>
        </values>
      </ddeItem>
      <ddeItem name="NQ.EQNQ.172335@best_bid1" advise="1">
        <values>
          <value>
            <val>105.18</val>
          </value>
        </values>
      </ddeItem>
      <ddeItem name="NQ.EQNQ.172335@best_bsiz1" advise="1">
        <values>
          <value>
            <val>100</val>
          </value>
        </values>
      </ddeItem>
      <ddeItem name="NQ.EQNQ.172335@exchange_name" advise="1">
        <values>
          <value t="str">
            <val>NASDAQ</val>
          </value>
        </values>
      </ddeItem>
      <ddeItem name="NQ.EQNQ.172335@instrument_name" advise="1">
        <values>
          <value t="str">
            <val>DOLLAR TREE INC USD</val>
          </value>
        </values>
      </ddeItem>
      <ddeItem name="NQ.EQNQ.172335@last_price" advise="1">
        <values>
          <value>
            <val>105.645</val>
          </value>
        </values>
      </ddeItem>
      <ddeItem name="NQ.EQNQ.172335@lst_prctck" advise="1">
        <values>
          <value t="str">
            <val>- + + + +</val>
          </value>
        </values>
      </ddeItem>
      <ddeItem name="NQ.EQNQ.172335@percentage_change" advise="1">
        <values>
          <value>
            <val>-0.47</val>
          </value>
        </values>
      </ddeItem>
      <ddeItem name="NQ.EQNQ.172335@prc_ql_cd" advise="1">
        <values>
          <value t="str">
            <val>CONT</val>
          </value>
        </values>
      </ddeItem>
      <ddeItem name="NQ.EQNQ.172335@symbol" advise="1">
        <values>
          <value t="str">
            <val>DLTR</val>
          </value>
        </values>
      </ddeItem>
      <ddeItem name="NQ.EQNQ.172335@trade_count" advise="1">
        <values>
          <value t="nil">
            <val>1</val>
          </value>
        </values>
      </ddeItem>
      <ddeItem name="NQ.EQNQ.172335@trade_time" advise="1">
        <values>
          <value t="str">
            <val>22.00.00</val>
          </value>
        </values>
      </ddeItem>
      <ddeItem name="NQ.EQNQ.172335@trade_volume_bi" advise="1">
        <values>
          <value>
            <val>1611644</val>
          </value>
        </values>
      </ddeItem>
      <ddeItem name="NQ.EQNQ.1726198@best_asiz1" advise="1">
        <values>
          <value>
            <val>200</val>
          </value>
        </values>
      </ddeItem>
      <ddeItem name="NQ.EQNQ.1726198@best_ask1" advise="1">
        <values>
          <value>
            <val>249.87</val>
          </value>
        </values>
      </ddeItem>
      <ddeItem name="NQ.EQNQ.1726198@best_bid1" advise="1">
        <values>
          <value>
            <val>240.01</val>
          </value>
        </values>
      </ddeItem>
      <ddeItem name="NQ.EQNQ.1726198@best_bsiz1" advise="1">
        <values>
          <value>
            <val>200</val>
          </value>
        </values>
      </ddeItem>
      <ddeItem name="NQ.EQNQ.1726198@exchange_name" advise="1">
        <values>
          <value t="str">
            <val>NASDAQ</val>
          </value>
        </values>
      </ddeItem>
      <ddeItem name="NQ.EQNQ.1726198@instrument_name" advise="1">
        <values>
          <value t="str">
            <val>ATLASSIAN -A- SHS -A-</val>
          </value>
        </values>
      </ddeItem>
      <ddeItem name="NQ.EQNQ.1726198@last_price" advise="1">
        <values>
          <value>
            <val>243.8</val>
          </value>
        </values>
      </ddeItem>
      <ddeItem name="NQ.EQNQ.1726198@lst_prctck" advise="1">
        <values>
          <value t="str">
            <val>+ + - - -</val>
          </value>
        </values>
      </ddeItem>
      <ddeItem name="NQ.EQNQ.1726198@percentage_change" advise="1">
        <values>
          <value>
            <val>1.1599999999999999</val>
          </value>
        </values>
      </ddeItem>
      <ddeItem name="NQ.EQNQ.1726198@prc_ql_cd" advise="1">
        <values>
          <value t="str">
            <val>CONT</val>
          </value>
        </values>
      </ddeItem>
      <ddeItem name="NQ.EQNQ.1726198@symbol" advise="1">
        <values>
          <value t="str">
            <val>TEAM</val>
          </value>
        </values>
      </ddeItem>
      <ddeItem name="NQ.EQNQ.1726198@trade_count" advise="1">
        <values>
          <value t="nil">
            <val>1</val>
          </value>
        </values>
      </ddeItem>
      <ddeItem name="NQ.EQNQ.1726198@trade_time" advise="1">
        <values>
          <value t="str">
            <val>22.00.00</val>
          </value>
        </values>
      </ddeItem>
      <ddeItem name="NQ.EQNQ.1726198@trade_volume_bi" advise="1">
        <values>
          <value>
            <val>956491</val>
          </value>
        </values>
      </ddeItem>
      <ddeItem name="NQ.EQNQ.1727303@best_asiz1" advise="1">
        <values>
          <value>
            <val>300</val>
          </value>
        </values>
      </ddeItem>
      <ddeItem name="NQ.EQNQ.1727303@best_ask1" advise="1">
        <values>
          <value>
            <val>120.99</val>
          </value>
        </values>
      </ddeItem>
      <ddeItem name="NQ.EQNQ.1727303@best_bid1" advise="1">
        <values>
          <value>
            <val>116.95</val>
          </value>
        </values>
      </ddeItem>
      <ddeItem name="NQ.EQNQ.1727303@best_bsiz1" advise="1">
        <values>
          <value>
            <val>300</val>
          </value>
        </values>
      </ddeItem>
      <ddeItem name="NQ.EQNQ.1727303@exchange_name" advise="1">
        <values>
          <value t="str">
            <val>NASDAQ</val>
          </value>
        </values>
      </ddeItem>
      <ddeItem name="NQ.EQNQ.1727303@instrument_name" advise="1">
        <values>
          <value t="str">
            <val>COPART</val>
          </value>
        </values>
      </ddeItem>
      <ddeItem name="NQ.EQNQ.1727303@last_price" advise="1">
        <values>
          <value>
            <val>119.39</val>
          </value>
        </values>
      </ddeItem>
      <ddeItem name="NQ.EQNQ.1727303@lst_prctck" advise="1">
        <values>
          <value t="str">
            <val>- + + - -</val>
          </value>
        </values>
      </ddeItem>
      <ddeItem name="NQ.EQNQ.1727303@percentage_change" advise="1">
        <values>
          <value>
            <val>4.43</val>
          </value>
        </values>
      </ddeItem>
      <ddeItem name="NQ.EQNQ.1727303@prc_ql_cd" advise="1">
        <values>
          <value t="str">
            <val>CONT</val>
          </value>
        </values>
      </ddeItem>
      <ddeItem name="NQ.EQNQ.1727303@symbol" advise="1">
        <values>
          <value t="str">
            <val>CPRT</val>
          </value>
        </values>
      </ddeItem>
      <ddeItem name="NQ.EQNQ.1727303@trade_count" advise="1">
        <values>
          <value t="nil">
            <val>1</val>
          </value>
        </values>
      </ddeItem>
      <ddeItem name="NQ.EQNQ.1727303@trade_time" advise="1">
        <values>
          <value t="str">
            <val>22.00.00</val>
          </value>
        </values>
      </ddeItem>
      <ddeItem name="NQ.EQNQ.1727303@trade_volume_bi" advise="1">
        <values>
          <value>
            <val>1749740</val>
          </value>
        </values>
      </ddeItem>
      <ddeItem name="NQ.EQNQ.173@best_asiz1" advise="1">
        <values>
          <value>
            <val>200</val>
          </value>
        </values>
      </ddeItem>
      <ddeItem name="NQ.EQNQ.173@best_ask1" advise="1">
        <values>
          <value>
            <val>242.29</val>
          </value>
        </values>
      </ddeItem>
      <ddeItem name="NQ.EQNQ.173@best_bid1" advise="1">
        <values>
          <value>
            <val>242.2</val>
          </value>
        </values>
      </ddeItem>
      <ddeItem name="NQ.EQNQ.173@best_bsiz1" advise="1">
        <values>
          <value>
            <val>200</val>
          </value>
        </values>
      </ddeItem>
      <ddeItem name="NQ.EQNQ.173@exchange_name" advise="1">
        <values>
          <value t="str">
            <val>NASDAQ</val>
          </value>
        </values>
      </ddeItem>
      <ddeItem name="NQ.EQNQ.173@instrument_name" advise="1">
        <values>
          <value t="str">
            <val>MICROSOFT INC.</val>
          </value>
        </values>
      </ddeItem>
      <ddeItem name="NQ.EQNQ.173@last_price" advise="1">
        <values>
          <value>
            <val>242.2</val>
          </value>
        </values>
      </ddeItem>
      <ddeItem name="NQ.EQNQ.173@lst_prctck" advise="1">
        <values>
          <value t="str">
            <val>- + + + -</val>
          </value>
        </values>
      </ddeItem>
      <ddeItem name="NQ.EQNQ.173@percentage_change" advise="1">
        <values>
          <value>
            <val>0.08</val>
          </value>
        </values>
      </ddeItem>
      <ddeItem name="NQ.EQNQ.173@prc_ql_cd" advise="1">
        <values>
          <value t="str">
            <val>CONT</val>
          </value>
        </values>
      </ddeItem>
      <ddeItem name="NQ.EQNQ.173@symbol" advise="1">
        <values>
          <value t="str">
            <val>MSFT</val>
          </value>
        </values>
      </ddeItem>
      <ddeItem name="NQ.EQNQ.173@trade_count" advise="1">
        <values>
          <value t="nil">
            <val>1</val>
          </value>
        </values>
      </ddeItem>
      <ddeItem name="NQ.EQNQ.173@trade_time" advise="1">
        <values>
          <value t="str">
            <val>22.00.00</val>
          </value>
        </values>
      </ddeItem>
      <ddeItem name="NQ.EQNQ.173@trade_volume_bi" advise="1">
        <values>
          <value>
            <val>17923557</val>
          </value>
        </values>
      </ddeItem>
      <ddeItem name="NQ.EQNQ.1730204@best_asiz1" advise="1">
        <values>
          <value>
            <val>200</val>
          </value>
        </values>
      </ddeItem>
      <ddeItem name="NQ.EQNQ.1730204@best_ask1" advise="1">
        <values>
          <value>
            <val>187.98</val>
          </value>
        </values>
      </ddeItem>
      <ddeItem name="NQ.EQNQ.1730204@best_bid1" advise="1">
        <values>
          <value>
            <val>185.01</val>
          </value>
        </values>
      </ddeItem>
      <ddeItem name="NQ.EQNQ.1730204@best_bsiz1" advise="1">
        <values>
          <value>
            <val>200</val>
          </value>
        </values>
      </ddeItem>
      <ddeItem name="NQ.EQNQ.1730204@exchange_name" advise="1">
        <values>
          <value t="str">
            <val>NASDAQ</val>
          </value>
        </values>
      </ddeItem>
      <ddeItem name="NQ.EQNQ.1730204@instrument_name" advise="1">
        <values>
          <value t="str">
            <val>VERISK ANALYTICS-ORD SHS CL A</val>
          </value>
        </values>
      </ddeItem>
      <ddeItem name="NQ.EQNQ.1730204@last_price" advise="1">
        <values>
          <value>
            <val>187.43</val>
          </value>
        </values>
      </ddeItem>
      <ddeItem name="NQ.EQNQ.1730204@lst_prctck" advise="1">
        <values>
          <value t="str">
            <val>+ - - + -</val>
          </value>
        </values>
      </ddeItem>
      <ddeItem name="NQ.EQNQ.1730204@percentage_change" advise="1">
        <values>
          <value>
            <val>-0.51</val>
          </value>
        </values>
      </ddeItem>
      <ddeItem name="NQ.EQNQ.1730204@prc_ql_cd" advise="1">
        <values>
          <value t="str">
            <val>CONT</val>
          </value>
        </values>
      </ddeItem>
      <ddeItem name="NQ.EQNQ.1730204@symbol" advise="1">
        <values>
          <value t="str">
            <val>VRSK</val>
          </value>
        </values>
      </ddeItem>
      <ddeItem name="NQ.EQNQ.1730204@trade_count" advise="1">
        <values>
          <value t="nil">
            <val>1</val>
          </value>
        </values>
      </ddeItem>
      <ddeItem name="NQ.EQNQ.1730204@trade_time" advise="1">
        <values>
          <value t="str">
            <val>22.00.00</val>
          </value>
        </values>
      </ddeItem>
      <ddeItem name="NQ.EQNQ.1730204@trade_volume_bi" advise="1">
        <values>
          <value>
            <val>684197</val>
          </value>
        </values>
      </ddeItem>
      <ddeItem name="NQ.EQNQ.1736635@best_asiz1" advise="1">
        <values>
          <value>
            <val>100</val>
          </value>
        </values>
      </ddeItem>
      <ddeItem name="NQ.EQNQ.1736635@best_ask1" advise="1">
        <values>
          <value>
            <val>284.49</val>
          </value>
        </values>
      </ddeItem>
      <ddeItem name="NQ.EQNQ.1736635@best_bid1" advise="1">
        <values>
          <value>
            <val>280.06</val>
          </value>
        </values>
      </ddeItem>
      <ddeItem name="NQ.EQNQ.1736635@best_bsiz1" advise="1">
        <values>
          <value>
            <val>100</val>
          </value>
        </values>
      </ddeItem>
      <ddeItem name="NQ.EQNQ.1736635@exchange_name" advise="1">
        <values>
          <value t="str">
            <val>NASDAQ</val>
          </value>
        </values>
      </ddeItem>
      <ddeItem name="NQ.EQNQ.1736635@instrument_name" advise="1">
        <values>
          <value t="str">
            <val>OKTA-A RG REGISTERED SHS -A-</val>
          </value>
        </values>
      </ddeItem>
      <ddeItem name="NQ.EQNQ.1736635@last_price" advise="1">
        <values>
          <value>
            <val>282.94</val>
          </value>
        </values>
      </ddeItem>
      <ddeItem name="NQ.EQNQ.1736635@lst_prctck" advise="1">
        <values>
          <value t="str">
            <val>- - - - -</val>
          </value>
        </values>
      </ddeItem>
      <ddeItem name="NQ.EQNQ.1736635@percentage_change" advise="1">
        <values>
          <value>
            <val>-0.24</val>
          </value>
        </values>
      </ddeItem>
      <ddeItem name="NQ.EQNQ.1736635@prc_ql_cd" advise="1">
        <values>
          <value t="str">
            <val>CONT</val>
          </value>
        </values>
      </ddeItem>
      <ddeItem name="NQ.EQNQ.1736635@symbol" advise="1">
        <values>
          <value t="str">
            <val>OKTA</val>
          </value>
        </values>
      </ddeItem>
      <ddeItem name="NQ.EQNQ.1736635@trade_count" advise="1">
        <values>
          <value t="nil">
            <val>1</val>
          </value>
        </values>
      </ddeItem>
      <ddeItem name="NQ.EQNQ.1736635@trade_time" advise="1">
        <values>
          <value t="str">
            <val>22.00.00</val>
          </value>
        </values>
      </ddeItem>
      <ddeItem name="NQ.EQNQ.1736635@trade_volume_bi" advise="1">
        <values>
          <value>
            <val>811423</val>
          </value>
        </values>
      </ddeItem>
      <ddeItem name="NQ.EQNQ.1745994@best_asiz1" advise="1">
        <values>
          <value>
            <val>100</val>
          </value>
        </values>
      </ddeItem>
      <ddeItem name="NQ.EQNQ.1745994@best_ask1" advise="1">
        <values>
          <value>
            <val>151.66</val>
          </value>
        </values>
      </ddeItem>
      <ddeItem name="NQ.EQNQ.1745994@best_bid1" advise="1">
        <values>
          <value>
            <val>146.28</val>
          </value>
        </values>
      </ddeItem>
      <ddeItem name="NQ.EQNQ.1745994@best_bsiz1" advise="1">
        <values>
          <value>
            <val>200</val>
          </value>
        </values>
      </ddeItem>
      <ddeItem name="NQ.EQNQ.1745994@exchange_name" advise="1">
        <values>
          <value t="str">
            <val>NASDAQ</val>
          </value>
        </values>
      </ddeItem>
      <ddeItem name="NQ.EQNQ.1745994@instrument_name" advise="1">
        <values>
          <value t="str">
            <val>CDW-ORD SHS</val>
          </value>
        </values>
      </ddeItem>
      <ddeItem name="NQ.EQNQ.1745994@last_price" advise="1">
        <values>
          <value>
            <val>150.97</val>
          </value>
        </values>
      </ddeItem>
      <ddeItem name="NQ.EQNQ.1745994@lst_prctck" advise="1">
        <values>
          <value t="str">
            <val>- - + - -</val>
          </value>
        </values>
      </ddeItem>
      <ddeItem name="NQ.EQNQ.1745994@percentage_change" advise="1">
        <values>
          <value>
            <val>0.66</val>
          </value>
        </values>
      </ddeItem>
      <ddeItem name="NQ.EQNQ.1745994@prc_ql_cd" advise="1">
        <values>
          <value t="str">
            <val>CONT</val>
          </value>
        </values>
      </ddeItem>
      <ddeItem name="NQ.EQNQ.1745994@symbol" advise="1">
        <values>
          <value t="str">
            <val>CDW</val>
          </value>
        </values>
      </ddeItem>
      <ddeItem name="NQ.EQNQ.1745994@trade_count" advise="1">
        <values>
          <value t="nil">
            <val>1</val>
          </value>
        </values>
      </ddeItem>
      <ddeItem name="NQ.EQNQ.1745994@trade_time" advise="1">
        <values>
          <value t="str">
            <val>22.00.00</val>
          </value>
        </values>
      </ddeItem>
      <ddeItem name="NQ.EQNQ.1745994@trade_volume_bi" advise="1">
        <values>
          <value>
            <val>628744</val>
          </value>
        </values>
      </ddeItem>
      <ddeItem name="NQ.EQNQ.1827@best_asiz1" advise="1">
        <values>
          <value>
            <val>200</val>
          </value>
        </values>
      </ddeItem>
      <ddeItem name="NQ.EQNQ.1827@best_ask1" advise="1">
        <values>
          <value>
            <val>82.47</val>
          </value>
        </values>
      </ddeItem>
      <ddeItem name="NQ.EQNQ.1827@best_bid1" advise="1">
        <values>
          <value>
            <val>82.1</val>
          </value>
        </values>
      </ddeItem>
      <ddeItem name="NQ.EQNQ.1827@best_bsiz1" advise="1">
        <values>
          <value>
            <val>200</val>
          </value>
        </values>
      </ddeItem>
      <ddeItem name="NQ.EQNQ.1827@exchange_name" advise="1">
        <values>
          <value t="str">
            <val>NASDAQ</val>
          </value>
        </values>
      </ddeItem>
      <ddeItem name="NQ.EQNQ.1827@instrument_name" advise="1">
        <values>
          <value t="str">
            <val>AM ELECTRIC</val>
          </value>
        </values>
      </ddeItem>
      <ddeItem name="NQ.EQNQ.1827@last_price" advise="1">
        <values>
          <value>
            <val>82.19</val>
          </value>
        </values>
      </ddeItem>
      <ddeItem name="NQ.EQNQ.1827@lst_prctck" advise="1">
        <values>
          <value t="str">
            <val>+ - - + +</val>
          </value>
        </values>
      </ddeItem>
      <ddeItem name="NQ.EQNQ.1827@percentage_change" advise="1">
        <values>
          <value>
            <val>-0.02</val>
          </value>
        </values>
      </ddeItem>
      <ddeItem name="NQ.EQNQ.1827@prc_ql_cd" advise="1">
        <values>
          <value t="str">
            <val>CONT</val>
          </value>
        </values>
      </ddeItem>
      <ddeItem name="NQ.EQNQ.1827@symbol" advise="1">
        <values>
          <value t="str">
            <val>AEP</val>
          </value>
        </values>
      </ddeItem>
      <ddeItem name="NQ.EQNQ.1827@trade_count" advise="1">
        <values>
          <value t="nil">
            <val>1</val>
          </value>
        </values>
      </ddeItem>
      <ddeItem name="NQ.EQNQ.1827@trade_time" advise="1">
        <values>
          <value t="str">
            <val>22.00.00</val>
          </value>
        </values>
      </ddeItem>
      <ddeItem name="NQ.EQNQ.1827@trade_volume_bi" advise="1">
        <values>
          <value>
            <val>1583922</val>
          </value>
        </values>
      </ddeItem>
      <ddeItem name="NQ.EQNQ.1858503@best_asiz1" advise="1">
        <values>
          <value>
            <val>100</val>
          </value>
        </values>
      </ddeItem>
      <ddeItem name="NQ.EQNQ.1858503@best_ask1" advise="1">
        <values>
          <value>
            <val>2100</val>
          </value>
        </values>
      </ddeItem>
      <ddeItem name="NQ.EQNQ.1858503@best_bid1" advise="1">
        <values>
          <value>
            <val>2072.67</val>
          </value>
        </values>
      </ddeItem>
      <ddeItem name="NQ.EQNQ.1858503@best_bsiz1" advise="1">
        <values>
          <value>
            <val>200</val>
          </value>
        </values>
      </ddeItem>
      <ddeItem name="NQ.EQNQ.1858503@exchange_name" advise="1">
        <values>
          <value t="str">
            <val>NASDAQ</val>
          </value>
        </values>
      </ddeItem>
      <ddeItem name="NQ.EQNQ.1858503@instrument_name" advise="1">
        <values>
          <value t="str">
            <val>BOOKING HLDG RG REGISTERED SHS INC</val>
          </value>
        </values>
      </ddeItem>
      <ddeItem name="NQ.EQNQ.1858503@last_price" advise="1">
        <values>
          <value>
            <val>2096.42</val>
          </value>
        </values>
      </ddeItem>
      <ddeItem name="NQ.EQNQ.1858503@lst_prctck" advise="1">
        <values>
          <value t="str">
            <val>+ + + - +</val>
          </value>
        </values>
      </ddeItem>
      <ddeItem name="NQ.EQNQ.1858503@percentage_change" advise="1">
        <values>
          <value>
            <val>0.65</val>
          </value>
        </values>
      </ddeItem>
      <ddeItem name="NQ.EQNQ.1858503@prc_ql_cd" advise="1">
        <values>
          <value t="str">
            <val>CONT</val>
          </value>
        </values>
      </ddeItem>
      <ddeItem name="NQ.EQNQ.1858503@symbol" advise="1">
        <values>
          <value t="str">
            <val>BKNG</val>
          </value>
        </values>
      </ddeItem>
      <ddeItem name="NQ.EQNQ.1858503@trade_count" advise="1">
        <values>
          <value t="nil">
            <val>1</val>
          </value>
        </values>
      </ddeItem>
      <ddeItem name="NQ.EQNQ.1858503@trade_time" advise="1">
        <values>
          <value t="str">
            <val>22.00.00</val>
          </value>
        </values>
      </ddeItem>
      <ddeItem name="NQ.EQNQ.1858503@trade_volume_bi" advise="1">
        <values>
          <value>
            <val>237626</val>
          </value>
        </values>
      </ddeItem>
      <ddeItem name="NQ.EQNQ.1866267@best_asiz1" advise="1">
        <values>
          <value>
            <val>100</val>
          </value>
        </values>
      </ddeItem>
      <ddeItem name="NQ.EQNQ.1866267@best_ask1" advise="1">
        <values>
          <value>
            <val>469.24</val>
          </value>
        </values>
      </ddeItem>
      <ddeItem name="NQ.EQNQ.1866267@best_bid1" advise="1">
        <values>
          <value>
            <val>465.02</val>
          </value>
        </values>
      </ddeItem>
      <ddeItem name="NQ.EQNQ.1866267@best_bsiz1" advise="1">
        <values>
          <value>
            <val>100</val>
          </value>
        </values>
      </ddeItem>
      <ddeItem name="NQ.EQNQ.1866267@exchange_name" advise="1">
        <values>
          <value t="str">
            <val>NASDAQ</val>
          </value>
        </values>
      </ddeItem>
      <ddeItem name="NQ.EQNQ.1866267@instrument_name" advise="1">
        <values>
          <value t="str">
            <val>BROADCOM RG REGISTERED SHS</val>
          </value>
        </values>
      </ddeItem>
      <ddeItem name="NQ.EQNQ.1866267@last_price" advise="1">
        <values>
          <value>
            <val>466.01</val>
          </value>
        </values>
      </ddeItem>
      <ddeItem name="NQ.EQNQ.1866267@lst_prctck" advise="1">
        <values>
          <value t="str">
            <val>+ + - - -</val>
          </value>
        </values>
      </ddeItem>
      <ddeItem name="NQ.EQNQ.1866267@percentage_change" advise="1">
        <values>
          <value>
            <val>-0.98</val>
          </value>
        </values>
      </ddeItem>
      <ddeItem name="NQ.EQNQ.1866267@prc_ql_cd" advise="1">
        <values>
          <value t="str">
            <val>CONT</val>
          </value>
        </values>
      </ddeItem>
      <ddeItem name="NQ.EQNQ.1866267@symbol" advise="1">
        <values>
          <value t="str">
            <val>AVGO</val>
          </value>
        </values>
      </ddeItem>
      <ddeItem name="NQ.EQNQ.1866267@trade_count" advise="1">
        <values>
          <value t="nil">
            <val>1</val>
          </value>
        </values>
      </ddeItem>
      <ddeItem name="NQ.EQNQ.1866267@trade_time" advise="1">
        <values>
          <value t="str">
            <val>22.00.01</val>
          </value>
        </values>
      </ddeItem>
      <ddeItem name="NQ.EQNQ.1866267@trade_volume_bi" advise="1">
        <values>
          <value>
            <val>1244762</val>
          </value>
        </values>
      </ddeItem>
      <ddeItem name="NQ.EQNQ.1873756@best_asiz1" advise="1">
        <values>
          <value>
            <val>100</val>
          </value>
        </values>
      </ddeItem>
      <ddeItem name="NQ.EQNQ.1873756@best_ask1" advise="1">
        <values>
          <value>
            <val>250.3</val>
          </value>
        </values>
      </ddeItem>
      <ddeItem name="NQ.EQNQ.1873756@best_bid1" advise="1">
        <values>
          <value>
            <val>250.01</val>
          </value>
        </values>
      </ddeItem>
      <ddeItem name="NQ.EQNQ.1873756@best_bsiz1" advise="1">
        <values>
          <value>
            <val>200</val>
          </value>
        </values>
      </ddeItem>
      <ddeItem name="NQ.EQNQ.1873756@exchange_name" advise="1">
        <values>
          <value t="str">
            <val>NASDAQ</val>
          </value>
        </values>
      </ddeItem>
      <ddeItem name="NQ.EQNQ.1873756@instrument_name" advise="1">
        <values>
          <value t="str">
            <val>DOCUSIGN RG REGISTERED SHS</val>
          </value>
        </values>
      </ddeItem>
      <ddeItem name="NQ.EQNQ.1873756@last_price" advise="1">
        <values>
          <value>
            <val>250.37</val>
          </value>
        </values>
      </ddeItem>
      <ddeItem name="NQ.EQNQ.1873756@lst_prctck" advise="1">
        <values>
          <value t="str">
            <val>- - - - +</val>
          </value>
        </values>
      </ddeItem>
      <ddeItem name="NQ.EQNQ.1873756@percentage_change" advise="1">
        <values>
          <value>
            <val>1.77</val>
          </value>
        </values>
      </ddeItem>
      <ddeItem name="NQ.EQNQ.1873756@prc_ql_cd" advise="1">
        <values>
          <value t="str">
            <val>CONT</val>
          </value>
        </values>
      </ddeItem>
      <ddeItem name="NQ.EQNQ.1873756@symbol" advise="1">
        <values>
          <value t="str">
            <val>DOCU</val>
          </value>
        </values>
      </ddeItem>
      <ddeItem name="NQ.EQNQ.1873756@trade_count" advise="1">
        <values>
          <value t="nil">
            <val>1</val>
          </value>
        </values>
      </ddeItem>
      <ddeItem name="NQ.EQNQ.1873756@trade_time" advise="1">
        <values>
          <value t="str">
            <val>22.00.00</val>
          </value>
        </values>
      </ddeItem>
      <ddeItem name="NQ.EQNQ.1873756@trade_volume_bi" advise="1">
        <values>
          <value>
            <val>2545387</val>
          </value>
        </values>
      </ddeItem>
      <ddeItem name="NQ.EQNQ.1892917@best_asiz1" advise="1">
        <values>
          <value>
            <val>900</val>
          </value>
        </values>
      </ddeItem>
      <ddeItem name="NQ.EQNQ.1892917@best_ask1" advise="1">
        <values>
          <value>
            <val>32.99</val>
          </value>
        </values>
      </ddeItem>
      <ddeItem name="NQ.EQNQ.1892917@best_bid1" advise="1">
        <values>
          <value>
            <val>31.14</val>
          </value>
        </values>
      </ddeItem>
      <ddeItem name="NQ.EQNQ.1892917@best_bsiz1" advise="1">
        <values>
          <value>
            <val>900</val>
          </value>
        </values>
      </ddeItem>
      <ddeItem name="NQ.EQNQ.1892917@exchange_name" advise="1">
        <values>
          <value t="str">
            <val>NASDAQ</val>
          </value>
        </values>
      </ddeItem>
      <ddeItem name="NQ.EQNQ.1892917@instrument_name" advise="1">
        <values>
          <value t="str">
            <val>KEURIG DR PEPPER RG REGISTERED SHS</val>
          </value>
        </values>
      </ddeItem>
      <ddeItem name="NQ.EQNQ.1892917@last_price" advise="1">
        <values>
          <value>
            <val>32.53</val>
          </value>
        </values>
      </ddeItem>
      <ddeItem name="NQ.EQNQ.1892917@lst_prctck" advise="1">
        <values>
          <value t="str">
            <val>- + + - +</val>
          </value>
        </values>
      </ddeItem>
      <ddeItem name="NQ.EQNQ.1892917@percentage_change" advise="1">
        <values>
          <value>
            <val>0.71</val>
          </value>
        </values>
      </ddeItem>
      <ddeItem name="NQ.EQNQ.1892917@prc_ql_cd" advise="1">
        <values>
          <value t="str">
            <val>CONT</val>
          </value>
        </values>
      </ddeItem>
      <ddeItem name="NQ.EQNQ.1892917@symbol" advise="1">
        <values>
          <value t="str">
            <val>KDP</val>
          </value>
        </values>
      </ddeItem>
      <ddeItem name="NQ.EQNQ.1892917@trade_count" advise="1">
        <values>
          <value t="nil">
            <val>1</val>
          </value>
        </values>
      </ddeItem>
      <ddeItem name="NQ.EQNQ.1892917@trade_time" advise="1">
        <values>
          <value t="str">
            <val>22.00.01</val>
          </value>
        </values>
      </ddeItem>
      <ddeItem name="NQ.EQNQ.1892917@trade_volume_bi" advise="1">
        <values>
          <value>
            <val>3542173</val>
          </value>
        </values>
      </ddeItem>
      <ddeItem name="NQ.EQNQ.1900034@best_asiz1" advise="1">
        <values>
          <value>
            <val>300</val>
          </value>
        </values>
      </ddeItem>
      <ddeItem name="NQ.EQNQ.1900034@best_ask1" advise="1">
        <values>
          <value>
            <val>197</val>
          </value>
        </values>
      </ddeItem>
      <ddeItem name="NQ.EQNQ.1900034@best_bid1" advise="1">
        <values>
          <value>
            <val>196.16</val>
          </value>
        </values>
      </ddeItem>
      <ddeItem name="NQ.EQNQ.1900034@best_bsiz1" advise="1">
        <values>
          <value>
            <val>100</val>
          </value>
        </values>
      </ddeItem>
      <ddeItem name="NQ.EQNQ.1900034@exchange_name" advise="1">
        <values>
          <value t="str">
            <val>NASDAQ</val>
          </value>
        </values>
      </ddeItem>
      <ddeItem name="NQ.EQNQ.1900034@instrument_name" advise="1">
        <values>
          <value t="str">
            <val>PINDUODUO SP ADS-A SHS -A- SPONSORED AMERICAN DEPOSITARY SHA</val>
          </value>
        </values>
      </ddeItem>
      <ddeItem name="NQ.EQNQ.1900034@last_price" advise="1">
        <values>
          <value>
            <val>196.16</val>
          </value>
        </values>
      </ddeItem>
      <ddeItem name="NQ.EQNQ.1900034@lst_prctck" advise="1">
        <values>
          <value t="str">
            <val>+ - - - -</val>
          </value>
        </values>
      </ddeItem>
      <ddeItem name="NQ.EQNQ.1900034@percentage_change" advise="1">
        <values>
          <value>
            <val>-0.56000000000000005</val>
          </value>
        </values>
      </ddeItem>
      <ddeItem name="NQ.EQNQ.1900034@prc_ql_cd" advise="1">
        <values>
          <value t="str">
            <val>CONT</val>
          </value>
        </values>
      </ddeItem>
      <ddeItem name="NQ.EQNQ.1900034@symbol" advise="1">
        <values>
          <value t="str">
            <val>PDD</val>
          </value>
        </values>
      </ddeItem>
      <ddeItem name="NQ.EQNQ.1900034@trade_count" advise="1">
        <values>
          <value t="nil">
            <val>1</val>
          </value>
        </values>
      </ddeItem>
      <ddeItem name="NQ.EQNQ.1900034@trade_time" advise="1">
        <values>
          <value t="str">
            <val>22.00.00</val>
          </value>
        </values>
      </ddeItem>
      <ddeItem name="NQ.EQNQ.1900034@trade_volume_bi" advise="1">
        <values>
          <value>
            <val>4471072</val>
          </value>
        </values>
      </ddeItem>
      <ddeItem name="NQ.EQNQ.19122@best_asiz1" advise="1">
        <values>
          <value>
            <val>400</val>
          </value>
        </values>
      </ddeItem>
      <ddeItem name="NQ.EQNQ.19122@best_ask1" advise="1">
        <values>
          <value>
            <val>63.9</val>
          </value>
        </values>
      </ddeItem>
      <ddeItem name="NQ.EQNQ.19122@best_bid1" advise="1">
        <values>
          <value>
            <val>63.29</val>
          </value>
        </values>
      </ddeItem>
      <ddeItem name="NQ.EQNQ.19122@best_bsiz1" advise="1">
        <values>
          <value>
            <val>400</val>
          </value>
        </values>
      </ddeItem>
      <ddeItem name="NQ.EQNQ.19122@exchange_name" advise="1">
        <values>
          <value t="str">
            <val>NASDAQ</val>
          </value>
        </values>
      </ddeItem>
      <ddeItem name="NQ.EQNQ.19122@instrument_name" advise="1">
        <values>
          <value t="str">
            <val>XCEL ENERGY</val>
          </value>
        </values>
      </ddeItem>
      <ddeItem name="NQ.EQNQ.19122@last_price" advise="1">
        <values>
          <value>
            <val>63.44</val>
          </value>
        </values>
      </ddeItem>
      <ddeItem name="NQ.EQNQ.19122@lst_prctck" advise="1">
        <values>
          <value t="str">
            <val>- + + - -</val>
          </value>
        </values>
      </ddeItem>
      <ddeItem name="NQ.EQNQ.19122@percentage_change" advise="1">
        <values>
          <value>
            <val>-0.24</val>
          </value>
        </values>
      </ddeItem>
      <ddeItem name="NQ.EQNQ.19122@prc_ql_cd" advise="1">
        <values>
          <value t="str">
            <val>CONT</val>
          </value>
        </values>
      </ddeItem>
      <ddeItem name="NQ.EQNQ.19122@symbol" advise="1">
        <values>
          <value t="str">
            <val>XEL</val>
          </value>
        </values>
      </ddeItem>
      <ddeItem name="NQ.EQNQ.19122@trade_count" advise="1">
        <values>
          <value t="nil">
            <val>1</val>
          </value>
        </values>
      </ddeItem>
      <ddeItem name="NQ.EQNQ.19122@trade_time" advise="1">
        <values>
          <value t="str">
            <val>22.00.00</val>
          </value>
        </values>
      </ddeItem>
      <ddeItem name="NQ.EQNQ.19122@trade_volume_bi" advise="1">
        <values>
          <value>
            <val>1567501</val>
          </value>
        </values>
      </ddeItem>
      <ddeItem name="NQ.EQNQ.191986@best_asiz1" advise="1">
        <values>
          <value>
            <val>100</val>
          </value>
        </values>
      </ddeItem>
      <ddeItem name="NQ.EQNQ.191986@best_ask1" advise="1">
        <values>
          <value>
            <val>102.29</val>
          </value>
        </values>
      </ddeItem>
      <ddeItem name="NQ.EQNQ.191986@best_bid1" advise="1">
        <values>
          <value>
            <val>101.6</val>
          </value>
        </values>
      </ddeItem>
      <ddeItem name="NQ.EQNQ.191986@best_bsiz1" advise="1">
        <values>
          <value>
            <val>300</val>
          </value>
        </values>
      </ddeItem>
      <ddeItem name="NQ.EQNQ.191986@exchange_name" advise="1">
        <values>
          <value t="str">
            <val>NASDAQ</val>
          </value>
        </values>
      </ddeItem>
      <ddeItem name="NQ.EQNQ.191986@instrument_name" advise="1">
        <values>
          <value t="str">
            <val>ACTIVISION BLIZZARD-ORD SHS USD</val>
          </value>
        </values>
      </ddeItem>
      <ddeItem name="NQ.EQNQ.191986@last_price" advise="1">
        <values>
          <value>
            <val>101.61</val>
          </value>
        </values>
      </ddeItem>
      <ddeItem name="NQ.EQNQ.191986@lst_prctck" advise="1">
        <values>
          <value t="str">
            <val>+ + - + -</val>
          </value>
        </values>
      </ddeItem>
      <ddeItem name="NQ.EQNQ.191986@percentage_change" advise="1">
        <values>
          <value>
            <val>9.64</val>
          </value>
        </values>
      </ddeItem>
      <ddeItem name="NQ.EQNQ.191986@prc_ql_cd" advise="1">
        <values>
          <value t="str">
            <val>CONT</val>
          </value>
        </values>
      </ddeItem>
      <ddeItem name="NQ.EQNQ.191986@symbol" advise="1">
        <values>
          <value t="str">
            <val>ATVI</val>
          </value>
        </values>
      </ddeItem>
      <ddeItem name="NQ.EQNQ.191986@trade_count" advise="1">
        <values>
          <value t="nil">
            <val>1</val>
          </value>
        </values>
      </ddeItem>
      <ddeItem name="NQ.EQNQ.191986@trade_time" advise="1">
        <values>
          <value t="str">
            <val>22.00.00</val>
          </value>
        </values>
      </ddeItem>
      <ddeItem name="NQ.EQNQ.191986@trade_volume_bi" advise="1">
        <values>
          <value>
            <val>16869170</val>
          </value>
        </values>
      </ddeItem>
      <ddeItem name="NQ.EQNQ.19566@best_asiz1" advise="1">
        <values>
          <value>
            <val>100</val>
          </value>
        </values>
      </ddeItem>
      <ddeItem name="NQ.EQNQ.19566@best_ask1" advise="1">
        <values>
          <value>
            <val>434.88</val>
          </value>
        </values>
      </ddeItem>
      <ddeItem name="NQ.EQNQ.19566@best_bid1" advise="1">
        <values>
          <value>
            <val>420.53</val>
          </value>
        </values>
      </ddeItem>
      <ddeItem name="NQ.EQNQ.19566@best_bsiz1" advise="1">
        <values>
          <value>
            <val>100</val>
          </value>
        </values>
      </ddeItem>
      <ddeItem name="NQ.EQNQ.19566@exchange_name" advise="1">
        <values>
          <value t="str">
            <val>NASDAQ</val>
          </value>
        </values>
      </ddeItem>
      <ddeItem name="NQ.EQNQ.19566@instrument_name" advise="1">
        <values>
          <value t="str">
            <val>ILLUMINA INC</val>
          </value>
        </values>
      </ddeItem>
      <ddeItem name="NQ.EQNQ.19566@last_price" advise="1">
        <values>
          <value>
            <val>428.91</val>
          </value>
        </values>
      </ddeItem>
      <ddeItem name="NQ.EQNQ.19566@lst_prctck" advise="1">
        <values>
          <value t="str">
            <val>+ - + + +</val>
          </value>
        </values>
      </ddeItem>
      <ddeItem name="NQ.EQNQ.19566@percentage_change" advise="1">
        <values>
          <value>
            <val>0.06</val>
          </value>
        </values>
      </ddeItem>
      <ddeItem name="NQ.EQNQ.19566@prc_ql_cd" advise="1">
        <values>
          <value t="str">
            <val>CONT</val>
          </value>
        </values>
      </ddeItem>
      <ddeItem name="NQ.EQNQ.19566@symbol" advise="1">
        <values>
          <value t="str">
            <val>ILMN</val>
          </value>
        </values>
      </ddeItem>
      <ddeItem name="NQ.EQNQ.19566@trade_count" advise="1">
        <values>
          <value t="nil">
            <val>1</val>
          </value>
        </values>
      </ddeItem>
      <ddeItem name="NQ.EQNQ.19566@trade_time" advise="1">
        <values>
          <value t="str">
            <val>22.00.00</val>
          </value>
        </values>
      </ddeItem>
      <ddeItem name="NQ.EQNQ.19566@trade_volume_bi" advise="1">
        <values>
          <value>
            <val>758698</val>
          </value>
        </values>
      </ddeItem>
      <ddeItem name="NQ.EQNQ.1956765@best_asiz1" advise="1">
        <values>
          <value>
            <val>100</val>
          </value>
        </values>
      </ddeItem>
      <ddeItem name="NQ.EQNQ.1956765@best_ask1" advise="1">
        <values>
          <value>
            <val>175.5</val>
          </value>
        </values>
      </ddeItem>
      <ddeItem name="NQ.EQNQ.1956765@best_bid1" advise="1">
        <values>
          <value>
            <val>175.11</val>
          </value>
        </values>
      </ddeItem>
      <ddeItem name="NQ.EQNQ.1956765@best_bsiz1" advise="1">
        <values>
          <value>
            <val>1600</val>
          </value>
        </values>
      </ddeItem>
      <ddeItem name="NQ.EQNQ.1956765@exchange_name" advise="1">
        <values>
          <value t="str">
            <val>NASDAQ</val>
          </value>
        </values>
      </ddeItem>
      <ddeItem name="NQ.EQNQ.1956765@instrument_name" advise="1">
        <values>
          <value t="str">
            <val>MODERNA RG REGISTERED SHS</val>
          </value>
        </values>
      </ddeItem>
      <ddeItem name="NQ.EQNQ.1956765@last_price" advise="1">
        <values>
          <value>
            <val>176.12</val>
          </value>
        </values>
      </ddeItem>
      <ddeItem name="NQ.EQNQ.1956765@lst_prctck" advise="1">
        <values>
          <value t="str">
            <val>- + + - -</val>
          </value>
        </values>
      </ddeItem>
      <ddeItem name="NQ.EQNQ.1956765@percentage_change" advise="1">
        <values>
          <value>
            <val>1.69</val>
          </value>
        </values>
      </ddeItem>
      <ddeItem name="NQ.EQNQ.1956765@prc_ql_cd" advise="1">
        <values>
          <value t="str">
            <val>CONT</val>
          </value>
        </values>
      </ddeItem>
      <ddeItem name="NQ.EQNQ.1956765@symbol" advise="1">
        <values>
          <value t="str">
            <val>MRNA</val>
          </value>
        </values>
      </ddeItem>
      <ddeItem name="NQ.EQNQ.1956765@trade_count" advise="1">
        <values>
          <value t="nil">
            <val>1</val>
          </value>
        </values>
      </ddeItem>
      <ddeItem name="NQ.EQNQ.1956765@trade_time" advise="1">
        <values>
          <value t="str">
            <val>22.00.00</val>
          </value>
        </values>
      </ddeItem>
      <ddeItem name="NQ.EQNQ.1956765@trade_volume_bi" advise="1">
        <values>
          <value>
            <val>8942916</val>
          </value>
        </values>
      </ddeItem>
      <ddeItem name="NQ.EQNQ.1979147@best_asiz1" advise="1">
        <values>
          <value>
            <val>900</val>
          </value>
        </values>
      </ddeItem>
      <ddeItem name="NQ.EQNQ.1979147@best_ask1" advise="1">
        <values>
          <value>
            <val>32.14</val>
          </value>
        </values>
      </ddeItem>
      <ddeItem name="NQ.EQNQ.1979147@best_bid1" advise="1">
        <values>
          <value>
            <val>31.01</val>
          </value>
        </values>
      </ddeItem>
      <ddeItem name="NQ.EQNQ.1979147@best_bsiz1" advise="1">
        <values>
          <value>
            <val>900</val>
          </value>
        </values>
      </ddeItem>
      <ddeItem name="NQ.EQNQ.1979147@exchange_name" advise="1">
        <values>
          <value t="str">
            <val>NASDAQ</val>
          </value>
        </values>
      </ddeItem>
      <ddeItem name="NQ.EQNQ.1979147@instrument_name" advise="1">
        <values>
          <value t="str">
            <val>FOX RG-A-WI REGISTERED SHS -A- WHEN ISSUED</val>
          </value>
        </values>
      </ddeItem>
      <ddeItem name="NQ.EQNQ.1979147@last_price" advise="1">
        <values>
          <value>
            <val>31.42</val>
          </value>
        </values>
      </ddeItem>
      <ddeItem name="NQ.EQNQ.1979147@lst_prctck" advise="1">
        <values>
          <value t="str">
            <val>+ + + + -</val>
          </value>
        </values>
      </ddeItem>
      <ddeItem name="NQ.EQNQ.1979147@percentage_change" advise="1">
        <values>
          <value>
            <val>3.29</val>
          </value>
        </values>
      </ddeItem>
      <ddeItem name="NQ.EQNQ.1979147@prc_ql_cd" advise="1">
        <values>
          <value t="str">
            <val>CONT</val>
          </value>
        </values>
      </ddeItem>
      <ddeItem name="NQ.EQNQ.1979147@symbol" advise="1">
        <values>
          <value t="str">
            <val>FOXA</val>
          </value>
        </values>
      </ddeItem>
      <ddeItem name="NQ.EQNQ.1979147@trade_count" advise="1">
        <values>
          <value t="nil">
            <val>1</val>
          </value>
        </values>
      </ddeItem>
      <ddeItem name="NQ.EQNQ.1979147@trade_time" advise="1">
        <values>
          <value t="str">
            <val>22.00.00</val>
          </value>
        </values>
      </ddeItem>
      <ddeItem name="NQ.EQNQ.1979147@trade_volume_bi" advise="1">
        <values>
          <value>
            <val>4640919</val>
          </value>
        </values>
      </ddeItem>
      <ddeItem name="NQ.EQNQ.1979195@best_asiz1" advise="1">
        <values>
          <value>
            <val>900</val>
          </value>
        </values>
      </ddeItem>
      <ddeItem name="NQ.EQNQ.1979195@best_ask1" advise="1">
        <values>
          <value>
            <val>30.99</val>
          </value>
        </values>
      </ddeItem>
      <ddeItem name="NQ.EQNQ.1979195@best_bid1" advise="1">
        <values>
          <value>
            <val>29.83</val>
          </value>
        </values>
      </ddeItem>
      <ddeItem name="NQ.EQNQ.1979195@best_bsiz1" advise="1">
        <values>
          <value>
            <val>900</val>
          </value>
        </values>
      </ddeItem>
      <ddeItem name="NQ.EQNQ.1979195@exchange_name" advise="1">
        <values>
          <value t="str">
            <val>NASDAQ</val>
          </value>
        </values>
      </ddeItem>
      <ddeItem name="NQ.EQNQ.1979195@instrument_name" advise="1">
        <values>
          <value t="str">
            <val>FOX RG-B-WI REGISTERED SHS -B- WHEN ISSUED</val>
          </value>
        </values>
      </ddeItem>
      <ddeItem name="NQ.EQNQ.1979195@last_price" advise="1">
        <values>
          <value>
            <val>30.31</val>
          </value>
        </values>
      </ddeItem>
      <ddeItem name="NQ.EQNQ.1979195@lst_prctck" advise="1">
        <values>
          <value t="str">
            <val>- + - + -</val>
          </value>
        </values>
      </ddeItem>
      <ddeItem name="NQ.EQNQ.1979195@percentage_change" advise="1">
        <values>
          <value>
            <val>3.34</val>
          </value>
        </values>
      </ddeItem>
      <ddeItem name="NQ.EQNQ.1979195@prc_ql_cd" advise="1">
        <values>
          <value t="str">
            <val>CONT</val>
          </value>
        </values>
      </ddeItem>
      <ddeItem name="NQ.EQNQ.1979195@symbol" advise="1">
        <values>
          <value t="str">
            <val>FOX</val>
          </value>
        </values>
      </ddeItem>
      <ddeItem name="NQ.EQNQ.1979195@trade_count" advise="1">
        <values>
          <value t="nil">
            <val>1</val>
          </value>
        </values>
      </ddeItem>
      <ddeItem name="NQ.EQNQ.1979195@trade_time" advise="1">
        <values>
          <value t="str">
            <val>22.00.01</val>
          </value>
        </values>
      </ddeItem>
      <ddeItem name="NQ.EQNQ.1979195@trade_volume_bi" advise="1">
        <values>
          <value>
            <val>1319872</val>
          </value>
        </values>
      </ddeItem>
      <ddeItem name="NQ.EQNQ.2012987@best_asiz1" advise="1">
        <values>
          <value>
            <val>200</val>
          </value>
        </values>
      </ddeItem>
      <ddeItem name="NQ.EQNQ.2012987@best_ask1" advise="1">
        <values>
          <value>
            <val>419.85</val>
          </value>
        </values>
      </ddeItem>
      <ddeItem name="NQ.EQNQ.2012987@best_bid1" advise="1">
        <values>
          <value>
            <val>419.65</val>
          </value>
        </values>
      </ddeItem>
      <ddeItem name="NQ.EQNQ.2012987@best_bsiz1" advise="1">
        <values>
          <value>
            <val>400</val>
          </value>
        </values>
      </ddeItem>
      <ddeItem name="NQ.EQNQ.2012987@exchange_name" advise="1">
        <values>
          <value t="str">
            <val>NASDAQ</val>
          </value>
        </values>
      </ddeItem>
      <ddeItem name="NQ.EQNQ.2012987@instrument_name" advise="1">
        <values>
          <value t="str">
            <val>ZOOM VID COMMU RG-A REGISTERED SHS -A-</val>
          </value>
        </values>
      </ddeItem>
      <ddeItem name="NQ.EQNQ.2012987@last_price" advise="1">
        <values>
          <value>
            <val>419.59</val>
          </value>
        </values>
      </ddeItem>
      <ddeItem name="NQ.EQNQ.2012987@lst_prctck" advise="1">
        <values>
          <value t="str">
            <val>- - + - -</val>
          </value>
        </values>
      </ddeItem>
      <ddeItem name="NQ.EQNQ.2012987@percentage_change" advise="1">
        <values>
          <value>
            <val>7.59</val>
          </value>
        </values>
      </ddeItem>
      <ddeItem name="NQ.EQNQ.2012987@prc_ql_cd" advise="1">
        <values>
          <value t="str">
            <val>CONT</val>
          </value>
        </values>
      </ddeItem>
      <ddeItem name="NQ.EQNQ.2012987@symbol" advise="1">
        <values>
          <value t="str">
            <val>ZM</val>
          </value>
        </values>
      </ddeItem>
      <ddeItem name="NQ.EQNQ.2012987@trade_count" advise="1">
        <values>
          <value t="nil">
            <val>1</val>
          </value>
        </values>
      </ddeItem>
      <ddeItem name="NQ.EQNQ.2012987@trade_time" advise="1">
        <values>
          <value t="str">
            <val>22.00.00</val>
          </value>
        </values>
      </ddeItem>
      <ddeItem name="NQ.EQNQ.2012987@trade_volume_bi" advise="1">
        <values>
          <value>
            <val>9709244</val>
          </value>
        </values>
      </ddeItem>
      <ddeItem name="NQ.EQNQ.2079260@best_asiz1" advise="1">
        <values>
          <value>
            <val>100</val>
          </value>
        </values>
      </ddeItem>
      <ddeItem name="NQ.EQNQ.2079260@best_ask1" advise="1">
        <values>
          <value>
            <val>148.94</val>
          </value>
        </values>
      </ddeItem>
      <ddeItem name="NQ.EQNQ.2079260@best_bid1" advise="1">
        <values>
          <value>
            <val>148.80000000000001</val>
          </value>
        </values>
      </ddeItem>
      <ddeItem name="NQ.EQNQ.2079260@best_bsiz1" advise="1">
        <values>
          <value>
            <val>100</val>
          </value>
        </values>
      </ddeItem>
      <ddeItem name="NQ.EQNQ.2079260@exchange_name" advise="1">
        <values>
          <value t="str">
            <val>NASDAQ</val>
          </value>
        </values>
      </ddeItem>
      <ddeItem name="NQ.EQNQ.2079260@instrument_name" advise="1">
        <values>
          <value t="str">
            <val>PELOTON INTERA RG-A REGISTERED SHS -A-</val>
          </value>
        </values>
      </ddeItem>
      <ddeItem name="NQ.EQNQ.2079260@last_price" advise="1">
        <values>
          <value>
            <val>148.30000000000001</val>
          </value>
        </values>
      </ddeItem>
      <ddeItem name="NQ.EQNQ.2079260@lst_prctck" advise="1">
        <values>
          <value t="str">
            <val>- - - + +</val>
          </value>
        </values>
      </ddeItem>
      <ddeItem name="NQ.EQNQ.2079260@percentage_change" advise="1">
        <values>
          <value>
            <val>-5.86</val>
          </value>
        </values>
      </ddeItem>
      <ddeItem name="NQ.EQNQ.2079260@prc_ql_cd" advise="1">
        <values>
          <value t="str">
            <val>CONT</val>
          </value>
        </values>
      </ddeItem>
      <ddeItem name="NQ.EQNQ.2079260@symbol" advise="1">
        <values>
          <value t="str">
            <val>PTON</val>
          </value>
        </values>
      </ddeItem>
      <ddeItem name="NQ.EQNQ.2079260@trade_count" advise="1">
        <values>
          <value t="nil">
            <val>1</val>
          </value>
        </values>
      </ddeItem>
      <ddeItem name="NQ.EQNQ.2079260@trade_time" advise="1">
        <values>
          <value t="str">
            <val>22.00.00</val>
          </value>
        </values>
      </ddeItem>
      <ddeItem name="NQ.EQNQ.2079260@trade_volume_bi" advise="1">
        <values>
          <value>
            <val>22976904</val>
          </value>
        </values>
      </ddeItem>
      <ddeItem name="NQ.EQNQ.2094555@best_asiz1" advise="1">
        <values>
          <value>
            <val>2000</val>
          </value>
        </values>
      </ddeItem>
      <ddeItem name="NQ.EQNQ.2094555@best_ask1" advise="1">
        <values>
          <value>
            <val>35</val>
          </value>
        </values>
      </ddeItem>
      <ddeItem name="NQ.EQNQ.2094555@best_bid1" advise="1">
        <values>
          <value>
            <val>34.83</val>
          </value>
        </values>
      </ddeItem>
      <ddeItem name="NQ.EQNQ.2094555@best_bsiz1" advise="1">
        <values>
          <value>
            <val>200</val>
          </value>
        </values>
      </ddeItem>
      <ddeItem name="NQ.EQNQ.2094555@exchange_name" advise="1">
        <values>
          <value t="str">
            <val>NASDAQ</val>
          </value>
        </values>
      </ddeItem>
      <ddeItem name="NQ.EQNQ.2094555@instrument_name" advise="1">
        <values>
          <value t="str">
            <val>TRIP COM GROUP LIMITED USD</val>
          </value>
        </values>
      </ddeItem>
      <ddeItem name="NQ.EQNQ.2094555@last_price" advise="1">
        <values>
          <value>
            <val>34.92</val>
          </value>
        </values>
      </ddeItem>
      <ddeItem name="NQ.EQNQ.2094555@lst_prctck" advise="1">
        <values>
          <value t="str">
            <val>+ + - - +</val>
          </value>
        </values>
      </ddeItem>
      <ddeItem name="NQ.EQNQ.2094555@percentage_change" advise="1">
        <values>
          <value>
            <val>6.5</val>
          </value>
        </values>
      </ddeItem>
      <ddeItem name="NQ.EQNQ.2094555@prc_ql_cd" advise="1">
        <values>
          <value t="str">
            <val>CONT</val>
          </value>
        </values>
      </ddeItem>
      <ddeItem name="NQ.EQNQ.2094555@symbol" advise="1">
        <values>
          <value t="str">
            <val>TCOM</val>
          </value>
        </values>
      </ddeItem>
      <ddeItem name="NQ.EQNQ.2094555@trade_count" advise="1">
        <values>
          <value t="nil">
            <val>1</val>
          </value>
        </values>
      </ddeItem>
      <ddeItem name="NQ.EQNQ.2094555@trade_time" advise="1">
        <values>
          <value t="str">
            <val>22.00.01</val>
          </value>
        </values>
      </ddeItem>
      <ddeItem name="NQ.EQNQ.2094555@trade_volume_bi" advise="1">
        <values>
          <value>
            <val>6017598</val>
          </value>
        </values>
      </ddeItem>
      <ddeItem name="NQ.EQNQ.2225620@best_asiz1" advise="1">
        <values>
          <value>
            <val>200</val>
          </value>
        </values>
      </ddeItem>
      <ddeItem name="NQ.EQNQ.2225620@best_ask1" advise="1">
        <values>
          <value>
            <val>159.80000000000001</val>
          </value>
        </values>
      </ddeItem>
      <ddeItem name="NQ.EQNQ.2225620@best_bid1" advise="1">
        <values>
          <value>
            <val>159.47</val>
          </value>
        </values>
      </ddeItem>
      <ddeItem name="NQ.EQNQ.2225620@best_bsiz1" advise="1">
        <values>
          <value>
            <val>500</val>
          </value>
        </values>
      </ddeItem>
      <ddeItem name="NQ.EQNQ.2225620@exchange_name" advise="1">
        <values>
          <value t="str">
            <val>NASDAQ</val>
          </value>
        </values>
      </ddeItem>
      <ddeItem name="NQ.EQNQ.2225620@instrument_name" advise="1">
        <values>
          <value t="str">
            <val>MATCH GROUP RG REGISTERED SHS</val>
          </value>
        </values>
      </ddeItem>
      <ddeItem name="NQ.EQNQ.2225620@last_price" advise="1">
        <values>
          <value>
            <val>159.82</val>
          </value>
        </values>
      </ddeItem>
      <ddeItem name="NQ.EQNQ.2225620@lst_prctck" advise="1">
        <values>
          <value t="str">
            <val>+ - - + +</val>
          </value>
        </values>
      </ddeItem>
      <ddeItem name="NQ.EQNQ.2225620@percentage_change" advise="1">
        <values>
          <value>
            <val>6.1</val>
          </value>
        </values>
      </ddeItem>
      <ddeItem name="NQ.EQNQ.2225620@prc_ql_cd" advise="1">
        <values>
          <value t="str">
            <val>CONT</val>
          </value>
        </values>
      </ddeItem>
      <ddeItem name="NQ.EQNQ.2225620@symbol" advise="1">
        <values>
          <value t="str">
            <val>MTCH</val>
          </value>
        </values>
      </ddeItem>
      <ddeItem name="NQ.EQNQ.2225620@trade_count" advise="1">
        <values>
          <value t="nil">
            <val>1</val>
          </value>
        </values>
      </ddeItem>
      <ddeItem name="NQ.EQNQ.2225620@trade_time" advise="1">
        <values>
          <value t="str">
            <val>22.00.00</val>
          </value>
        </values>
      </ddeItem>
      <ddeItem name="NQ.EQNQ.2225620@trade_volume_bi" advise="1">
        <values>
          <value>
            <val>3522876</val>
          </value>
        </values>
      </ddeItem>
      <ddeItem name="NQ.EQNQ.223@best_asiz1" advise="1">
        <values>
          <value>
            <val>100</val>
          </value>
        </values>
      </ddeItem>
      <ddeItem name="NQ.EQNQ.223@best_ask1" advise="1">
        <values>
          <value>
            <val>141.99</val>
          </value>
        </values>
      </ddeItem>
      <ddeItem name="NQ.EQNQ.223@best_bid1" advise="1">
        <values>
          <value>
            <val>140.31</val>
          </value>
        </values>
      </ddeItem>
      <ddeItem name="NQ.EQNQ.223@best_bsiz1" advise="1">
        <values>
          <value>
            <val>500</val>
          </value>
        </values>
      </ddeItem>
      <ddeItem name="NQ.EQNQ.223@exchange_name" advise="1">
        <values>
          <value t="str">
            <val>NASDAQ</val>
          </value>
        </values>
      </ddeItem>
      <ddeItem name="NQ.EQNQ.223@instrument_name" advise="1">
        <values>
          <value t="str">
            <val>PEPSICO INC.</val>
          </value>
        </values>
      </ddeItem>
      <ddeItem name="NQ.EQNQ.223@last_price" advise="1">
        <values>
          <value>
            <val>140.96</val>
          </value>
        </values>
      </ddeItem>
      <ddeItem name="NQ.EQNQ.223@lst_prctck" advise="1">
        <values>
          <value t="str">
            <val>+ - + - +</val>
          </value>
        </values>
      </ddeItem>
      <ddeItem name="NQ.EQNQ.223@percentage_change" advise="1">
        <values>
          <value>
            <val>0.92</val>
          </value>
        </values>
      </ddeItem>
      <ddeItem name="NQ.EQNQ.223@prc_ql_cd" advise="1">
        <values>
          <value t="str">
            <val>CONT</val>
          </value>
        </values>
      </ddeItem>
      <ddeItem name="NQ.EQNQ.223@symbol" advise="1">
        <values>
          <value t="str">
            <val>PEP</val>
          </value>
        </values>
      </ddeItem>
      <ddeItem name="NQ.EQNQ.223@trade_count" advise="1">
        <values>
          <value t="nil">
            <val>1</val>
          </value>
        </values>
      </ddeItem>
      <ddeItem name="NQ.EQNQ.223@trade_time" advise="1">
        <values>
          <value t="str">
            <val>22.00.01</val>
          </value>
        </values>
      </ddeItem>
      <ddeItem name="NQ.EQNQ.223@trade_volume_bi" advise="1">
        <values>
          <value>
            <val>4430864</val>
          </value>
        </values>
      </ddeItem>
      <ddeItem name="NQ.EQNQ.2264@best_asiz1" advise="1">
        <values>
          <value>
            <val>100</val>
          </value>
        </values>
      </ddeItem>
      <ddeItem name="NQ.EQNQ.2264@best_ask1" advise="1">
        <values>
          <value>
            <val>106.79</val>
          </value>
        </values>
      </ddeItem>
      <ddeItem name="NQ.EQNQ.2264@best_bid1" advise="1">
        <values>
          <value>
            <val>106.53</val>
          </value>
        </values>
      </ddeItem>
      <ddeItem name="NQ.EQNQ.2264@best_bsiz1" advise="1">
        <values>
          <value>
            <val>100</val>
          </value>
        </values>
      </ddeItem>
      <ddeItem name="NQ.EQNQ.2264@exchange_name" advise="1">
        <values>
          <value t="str">
            <val>NASDAQ</val>
          </value>
        </values>
      </ddeItem>
      <ddeItem name="NQ.EQNQ.2264@instrument_name" advise="1">
        <values>
          <value t="str">
            <val>STARBUCKS CORP</val>
          </value>
        </values>
      </ddeItem>
      <ddeItem name="NQ.EQNQ.2264@last_price" advise="1">
        <values>
          <value>
            <val>106.48</val>
          </value>
        </values>
      </ddeItem>
      <ddeItem name="NQ.EQNQ.2264@lst_prctck" advise="1">
        <values>
          <value t="str">
            <val>+ + - + -</val>
          </value>
        </values>
      </ddeItem>
      <ddeItem name="NQ.EQNQ.2264@percentage_change" advise="1">
        <values>
          <value>
            <val>2.74</val>
          </value>
        </values>
      </ddeItem>
      <ddeItem name="NQ.EQNQ.2264@prc_ql_cd" advise="1">
        <values>
          <value t="str">
            <val>CONT</val>
          </value>
        </values>
      </ddeItem>
      <ddeItem name="NQ.EQNQ.2264@symbol" advise="1">
        <values>
          <value t="str">
            <val>SBUX</val>
          </value>
        </values>
      </ddeItem>
      <ddeItem name="NQ.EQNQ.2264@trade_count" advise="1">
        <values>
          <value t="nil">
            <val>1</val>
          </value>
        </values>
      </ddeItem>
      <ddeItem name="NQ.EQNQ.2264@trade_time" advise="1">
        <values>
          <value t="str">
            <val>22.00.00</val>
          </value>
        </values>
      </ddeItem>
      <ddeItem name="NQ.EQNQ.2264@trade_volume_bi" advise="1">
        <values>
          <value>
            <val>8057579</val>
          </value>
        </values>
      </ddeItem>
      <ddeItem name="NQ.EQNQ.2265998@best_asiz1" advise="1">
        <values>
          <value>
            <val>100</val>
          </value>
        </values>
      </ddeItem>
      <ddeItem name="NQ.EQNQ.2265998@best_ask1" advise="1">
        <values>
          <value>
            <val>193.5</val>
          </value>
        </values>
      </ddeItem>
      <ddeItem name="NQ.EQNQ.2265998@best_bid1" advise="1">
        <values>
          <value>
            <val>191</val>
          </value>
        </values>
      </ddeItem>
      <ddeItem name="NQ.EQNQ.2265998@best_bsiz1" advise="1">
        <values>
          <value>
            <val>300</val>
          </value>
        </values>
      </ddeItem>
      <ddeItem name="NQ.EQNQ.2265998@exchange_name" advise="1">
        <values>
          <value t="str">
            <val>NASDAQ</val>
          </value>
        </values>
      </ddeItem>
      <ddeItem name="NQ.EQNQ.2265998@instrument_name" advise="1">
        <values>
          <value t="str">
            <val>SEAGEN RG REGISTERED SHS</val>
          </value>
        </values>
      </ddeItem>
      <ddeItem name="NQ.EQNQ.2265998@last_price" advise="1">
        <values>
          <value>
            <val>190.61</val>
          </value>
        </values>
      </ddeItem>
      <ddeItem name="NQ.EQNQ.2265998@lst_prctck" advise="1">
        <values>
          <value t="str">
            <val>+ + - - +</val>
          </value>
        </values>
      </ddeItem>
      <ddeItem name="NQ.EQNQ.2265998@percentage_change" advise="1">
        <values>
          <value>
            <val>15.23</val>
          </value>
        </values>
      </ddeItem>
      <ddeItem name="NQ.EQNQ.2265998@prc_ql_cd" advise="1">
        <values>
          <value t="str">
            <val>CONT</val>
          </value>
        </values>
      </ddeItem>
      <ddeItem name="NQ.EQNQ.2265998@symbol" advise="1">
        <values>
          <value t="str">
            <val>SGEN</val>
          </value>
        </values>
      </ddeItem>
      <ddeItem name="NQ.EQNQ.2265998@trade_count" advise="1">
        <values>
          <value t="nil">
            <val>1</val>
          </value>
        </values>
      </ddeItem>
      <ddeItem name="NQ.EQNQ.2265998@trade_time" advise="1">
        <values>
          <value t="str">
            <val>22.00.00</val>
          </value>
        </values>
      </ddeItem>
      <ddeItem name="NQ.EQNQ.2265998@trade_volume_bi" advise="1">
        <values>
          <value>
            <val>3169899</val>
          </value>
        </values>
      </ddeItem>
      <ddeItem name="NQ.EQNQ.25781@best_asiz1" advise="1">
        <values>
          <value>
            <val>100</val>
          </value>
        </values>
      </ddeItem>
      <ddeItem name="NQ.EQNQ.25781@best_ask1" advise="1">
        <values>
          <value>
            <val>626</val>
          </value>
        </values>
      </ddeItem>
      <ddeItem name="NQ.EQNQ.25781@best_bid1" advise="1">
        <values>
          <value>
            <val>618.42999999999995</val>
          </value>
        </values>
      </ddeItem>
      <ddeItem name="NQ.EQNQ.25781@best_bsiz1" advise="1">
        <values>
          <value>
            <val>100</val>
          </value>
        </values>
      </ddeItem>
      <ddeItem name="NQ.EQNQ.25781@exchange_name" advise="1">
        <values>
          <value t="str">
            <val>NASDAQ</val>
          </value>
        </values>
      </ddeItem>
      <ddeItem name="NQ.EQNQ.25781@instrument_name" advise="1">
        <values>
          <value t="str">
            <val>ALIGN TECHNOLOGY</val>
          </value>
        </values>
      </ddeItem>
      <ddeItem name="NQ.EQNQ.25781@last_price" advise="1">
        <values>
          <value>
            <val>620.45000000000005</val>
          </value>
        </values>
      </ddeItem>
      <ddeItem name="NQ.EQNQ.25781@lst_prctck" advise="1">
        <values>
          <value t="str">
            <val>+ + - - +</val>
          </value>
        </values>
      </ddeItem>
      <ddeItem name="NQ.EQNQ.25781@percentage_change" advise="1">
        <values>
          <value>
            <val>0.86</val>
          </value>
        </values>
      </ddeItem>
      <ddeItem name="NQ.EQNQ.25781@prc_ql_cd" advise="1">
        <values>
          <value t="str">
            <val>CONT</val>
          </value>
        </values>
      </ddeItem>
      <ddeItem name="NQ.EQNQ.25781@symbol" advise="1">
        <values>
          <value t="str">
            <val>ALGN</val>
          </value>
        </values>
      </ddeItem>
      <ddeItem name="NQ.EQNQ.25781@trade_count" advise="1">
        <values>
          <value t="nil">
            <val>1</val>
          </value>
        </values>
      </ddeItem>
      <ddeItem name="NQ.EQNQ.25781@trade_time" advise="1">
        <values>
          <value t="str">
            <val>22.00.00</val>
          </value>
        </values>
      </ddeItem>
      <ddeItem name="NQ.EQNQ.25781@trade_volume_bi" advise="1">
        <values>
          <value>
            <val>654240</val>
          </value>
        </values>
      </ddeItem>
      <ddeItem name="NQ.EQNQ.269@best_asiz1" advise="1">
        <values>
          <value>
            <val>500</val>
          </value>
        </values>
      </ddeItem>
      <ddeItem name="NQ.EQNQ.269@best_ask1" advise="1">
        <values>
          <value>
            <val>238</val>
          </value>
        </values>
      </ddeItem>
      <ddeItem name="NQ.EQNQ.269@best_bid1" advise="1">
        <values>
          <value>
            <val>235.49</val>
          </value>
        </values>
      </ddeItem>
      <ddeItem name="NQ.EQNQ.269@best_bsiz1" advise="1">
        <values>
          <value>
            <val>100</val>
          </value>
        </values>
      </ddeItem>
      <ddeItem name="NQ.EQNQ.269@exchange_name" advise="1">
        <values>
          <value t="str">
            <val>NASDAQ</val>
          </value>
        </values>
      </ddeItem>
      <ddeItem name="NQ.EQNQ.269@instrument_name" advise="1">
        <values>
          <value t="str">
            <val>AMGEN CORP</val>
          </value>
        </values>
      </ddeItem>
      <ddeItem name="NQ.EQNQ.269@last_price" advise="1">
        <values>
          <value>
            <val>236.32</val>
          </value>
        </values>
      </ddeItem>
      <ddeItem name="NQ.EQNQ.269@lst_prctck" advise="1">
        <values>
          <value t="str">
            <val>+ + + + -</val>
          </value>
        </values>
      </ddeItem>
      <ddeItem name="NQ.EQNQ.269@percentage_change" advise="1">
        <values>
          <value>
            <val>-0.38</val>
          </value>
        </values>
      </ddeItem>
      <ddeItem name="NQ.EQNQ.269@prc_ql_cd" advise="1">
        <values>
          <value t="str">
            <val>CONT</val>
          </value>
        </values>
      </ddeItem>
      <ddeItem name="NQ.EQNQ.269@symbol" advise="1">
        <values>
          <value t="str">
            <val>AMGN</val>
          </value>
        </values>
      </ddeItem>
      <ddeItem name="NQ.EQNQ.269@trade_count" advise="1">
        <values>
          <value t="nil">
            <val>1</val>
          </value>
        </values>
      </ddeItem>
      <ddeItem name="NQ.EQNQ.269@trade_time" advise="1">
        <values>
          <value t="str">
            <val>22.00.00</val>
          </value>
        </values>
      </ddeItem>
      <ddeItem name="NQ.EQNQ.269@trade_volume_bi" advise="1">
        <values>
          <value>
            <val>2231084</val>
          </value>
        </values>
      </ddeItem>
      <ddeItem name="NQ.EQNQ.28341@best_asiz1" advise="1">
        <values>
          <value>
            <val>600</val>
          </value>
        </values>
      </ddeItem>
      <ddeItem name="NQ.EQNQ.28341@best_ask1" advise="1">
        <values>
          <value>
            <val>43.97</val>
          </value>
        </values>
      </ddeItem>
      <ddeItem name="NQ.EQNQ.28341@best_bid1" advise="1">
        <values>
          <value>
            <val>43.39</val>
          </value>
        </values>
      </ddeItem>
      <ddeItem name="NQ.EQNQ.28341@best_bsiz1" advise="1">
        <values>
          <value>
            <val>600</val>
          </value>
        </values>
      </ddeItem>
      <ddeItem name="NQ.EQNQ.28341@exchange_name" advise="1">
        <values>
          <value t="str">
            <val>NASDAQ</val>
          </value>
        </values>
      </ddeItem>
      <ddeItem name="NQ.EQNQ.28341@instrument_name" advise="1">
        <values>
          <value t="str">
            <val>EXELON CORPORATION AZIONI ORDINA</val>
          </value>
        </values>
      </ddeItem>
      <ddeItem name="NQ.EQNQ.28341@last_price" advise="1">
        <values>
          <value>
            <val>43.68</val>
          </value>
        </values>
      </ddeItem>
      <ddeItem name="NQ.EQNQ.28341@lst_prctck" advise="1">
        <values>
          <value t="str">
            <val>- - - - -</val>
          </value>
        </values>
      </ddeItem>
      <ddeItem name="NQ.EQNQ.28341@percentage_change" advise="1">
        <values>
          <value>
            <val>0.02</val>
          </value>
        </values>
      </ddeItem>
      <ddeItem name="NQ.EQNQ.28341@prc_ql_cd" advise="1">
        <values>
          <value t="str">
            <val>CONT</val>
          </value>
        </values>
      </ddeItem>
      <ddeItem name="NQ.EQNQ.28341@symbol" advise="1">
        <values>
          <value t="str">
            <val>EXC</val>
          </value>
        </values>
      </ddeItem>
      <ddeItem name="NQ.EQNQ.28341@trade_count" advise="1">
        <values>
          <value t="nil">
            <val>1</val>
          </value>
        </values>
      </ddeItem>
      <ddeItem name="NQ.EQNQ.28341@trade_time" advise="1">
        <values>
          <value t="str">
            <val>22.00.00</val>
          </value>
        </values>
      </ddeItem>
      <ddeItem name="NQ.EQNQ.28341@trade_volume_bi" advise="1">
        <values>
          <value>
            <val>3966074</val>
          </value>
        </values>
      </ddeItem>
      <ddeItem name="NQ.EQNQ.297956@best_asiz1" advise="1">
        <values>
          <value>
            <val>100</val>
          </value>
        </values>
      </ddeItem>
      <ddeItem name="NQ.EQNQ.297956@best_ask1" advise="1">
        <values>
          <value>
            <val>852.45</val>
          </value>
        </values>
      </ddeItem>
      <ddeItem name="NQ.EQNQ.297956@best_bid1" advise="1">
        <values>
          <value>
            <val>852</val>
          </value>
        </values>
      </ddeItem>
      <ddeItem name="NQ.EQNQ.297956@best_bsiz1" advise="1">
        <values>
          <value>
            <val>9600</val>
          </value>
        </values>
      </ddeItem>
      <ddeItem name="NQ.EQNQ.297956@exchange_name" advise="1">
        <values>
          <value t="str">
            <val>NASDAQ</val>
          </value>
        </values>
      </ddeItem>
      <ddeItem name="NQ.EQNQ.297956@instrument_name" advise="1">
        <values>
          <value t="str">
            <val>TESLA INC-ORD SHS</val>
          </value>
        </values>
      </ddeItem>
      <ddeItem name="NQ.EQNQ.297956@last_price" advise="1">
        <values>
          <value>
            <val>852.23</val>
          </value>
        </values>
      </ddeItem>
      <ddeItem name="NQ.EQNQ.297956@lst_prctck" advise="1">
        <values>
          <value t="str">
            <val>- - + + -</val>
          </value>
        </values>
      </ddeItem>
      <ddeItem name="NQ.EQNQ.297956@percentage_change" advise="1">
        <values>
          <value>
            <val>0.26</val>
          </value>
        </values>
      </ddeItem>
      <ddeItem name="NQ.EQNQ.297956@prc_ql_cd" advise="1">
        <values>
          <value t="str">
            <val>CONT</val>
          </value>
        </values>
      </ddeItem>
      <ddeItem name="NQ.EQNQ.297956@symbol" advise="1">
        <values>
          <value t="str">
            <val>TSLA</val>
          </value>
        </values>
      </ddeItem>
      <ddeItem name="NQ.EQNQ.297956@trade_count" advise="1">
        <values>
          <value t="nil">
            <val>1</val>
          </value>
        </values>
      </ddeItem>
      <ddeItem name="NQ.EQNQ.297956@trade_time" advise="1">
        <values>
          <value t="str">
            <val>22.00.00</val>
          </value>
        </values>
      </ddeItem>
      <ddeItem name="NQ.EQNQ.297956@trade_volume_bi" advise="1">
        <values>
          <value>
            <val>17955373</val>
          </value>
        </values>
      </ddeItem>
      <ddeItem name="NQ.EQNQ.303122@best_asiz1" advise="1">
        <values>
          <value>
            <val>200</val>
          </value>
        </values>
      </ddeItem>
      <ddeItem name="NQ.EQNQ.303122@best_ask1" advise="1">
        <values>
          <value>
            <val>183.39</val>
          </value>
        </values>
      </ddeItem>
      <ddeItem name="NQ.EQNQ.303122@best_bid1" advise="1">
        <values>
          <value>
            <val>181.14</val>
          </value>
        </values>
      </ddeItem>
      <ddeItem name="NQ.EQNQ.303122@best_bsiz1" advise="1">
        <values>
          <value>
            <val>100</val>
          </value>
        </values>
      </ddeItem>
      <ddeItem name="NQ.EQNQ.303122@exchange_name" advise="1">
        <values>
          <value t="str">
            <val>NASDAQ</val>
          </value>
        </values>
      </ddeItem>
      <ddeItem name="NQ.EQNQ.303122@instrument_name" advise="1">
        <values>
          <value t="str">
            <val>NXP SEMICONDUCTORS-ORD SHS</val>
          </value>
        </values>
      </ddeItem>
      <ddeItem name="NQ.EQNQ.303122@last_price" advise="1">
        <values>
          <value>
            <val>181.99</val>
          </value>
        </values>
      </ddeItem>
      <ddeItem name="NQ.EQNQ.303122@lst_prctck" advise="1">
        <values>
          <value t="str">
            <val>+ + - - +</val>
          </value>
        </values>
      </ddeItem>
      <ddeItem name="NQ.EQNQ.303122@percentage_change" advise="1">
        <values>
          <value>
            <val>0.3</val>
          </value>
        </values>
      </ddeItem>
      <ddeItem name="NQ.EQNQ.303122@prc_ql_cd" advise="1">
        <values>
          <value t="str">
            <val>CONT</val>
          </value>
        </values>
      </ddeItem>
      <ddeItem name="NQ.EQNQ.303122@symbol" advise="1">
        <values>
          <value t="str">
            <val>NXPI</val>
          </value>
        </values>
      </ddeItem>
      <ddeItem name="NQ.EQNQ.303122@trade_count" advise="1">
        <values>
          <value t="nil">
            <val>1</val>
          </value>
        </values>
      </ddeItem>
      <ddeItem name="NQ.EQNQ.303122@trade_time" advise="1">
        <values>
          <value t="str">
            <val>22.00.00</val>
          </value>
        </values>
      </ddeItem>
      <ddeItem name="NQ.EQNQ.303122@trade_volume_bi" advise="1">
        <values>
          <value>
            <val>2979316</val>
          </value>
        </values>
      </ddeItem>
      <ddeItem name="NQ.EQNQ.314@best_asiz1" advise="1">
        <values>
          <value>
            <val>100</val>
          </value>
        </values>
      </ddeItem>
      <ddeItem name="NQ.EQNQ.314@best_ask1" advise="1">
        <values>
          <value>
            <val>136.55000000000001</val>
          </value>
        </values>
      </ddeItem>
      <ddeItem name="NQ.EQNQ.314@best_bid1" advise="1">
        <values>
          <value>
            <val>136.51</val>
          </value>
        </values>
      </ddeItem>
      <ddeItem name="NQ.EQNQ.314@best_bsiz1" advise="1">
        <values>
          <value>
            <val>100</val>
          </value>
        </values>
      </ddeItem>
      <ddeItem name="NQ.EQNQ.314@exchange_name" advise="1">
        <values>
          <value t="str">
            <val>NASDAQ</val>
          </value>
        </values>
      </ddeItem>
      <ddeItem name="NQ.EQNQ.314@instrument_name" advise="1">
        <values>
          <value t="str">
            <val>APPLE COMPUTER CORP.</val>
          </value>
        </values>
      </ddeItem>
      <ddeItem name="NQ.EQNQ.314@last_price" advise="1">
        <values>
          <value>
            <val>136.76</val>
          </value>
        </values>
      </ddeItem>
      <ddeItem name="NQ.EQNQ.314@lst_prctck" advise="1">
        <values>
          <value t="str">
            <val>- - + - +</val>
          </value>
        </values>
      </ddeItem>
      <ddeItem name="NQ.EQNQ.314@percentage_change" advise="1">
        <values>
          <value>
            <val>-0.31</val>
          </value>
        </values>
      </ddeItem>
      <ddeItem name="NQ.EQNQ.314@prc_ql_cd" advise="1">
        <values>
          <value t="str">
            <val>CONT</val>
          </value>
        </values>
      </ddeItem>
      <ddeItem name="NQ.EQNQ.314@symbol" advise="1">
        <values>
          <value t="str">
            <val>AAPL</val>
          </value>
        </values>
      </ddeItem>
      <ddeItem name="NQ.EQNQ.314@trade_count" advise="1">
        <values>
          <value t="nil">
            <val>1</val>
          </value>
        </values>
      </ddeItem>
      <ddeItem name="NQ.EQNQ.314@trade_time" advise="1">
        <values>
          <value t="str">
            <val>22.00.00</val>
          </value>
        </values>
      </ddeItem>
      <ddeItem name="NQ.EQNQ.314@trade_volume_bi" advise="1">
        <values>
          <value>
            <val>75277646</val>
          </value>
        </values>
      </ddeItem>
      <ddeItem name="NQ.EQNQ.3489@best_asiz1" advise="1">
        <values>
          <value>
            <val>600</val>
          </value>
        </values>
      </ddeItem>
      <ddeItem name="NQ.EQNQ.3489@best_ask1" advise="1">
        <values>
          <value>
            <val>47.65</val>
          </value>
        </values>
      </ddeItem>
      <ddeItem name="NQ.EQNQ.3489@best_bid1" advise="1">
        <values>
          <value>
            <val>46.64</val>
          </value>
        </values>
      </ddeItem>
      <ddeItem name="NQ.EQNQ.3489@best_bsiz1" advise="1">
        <values>
          <value>
            <val>600</val>
          </value>
        </values>
      </ddeItem>
      <ddeItem name="NQ.EQNQ.3489@exchange_name" advise="1">
        <values>
          <value t="str">
            <val>NASDAQ</val>
          </value>
        </values>
      </ddeItem>
      <ddeItem name="NQ.EQNQ.3489@instrument_name" advise="1">
        <values>
          <value t="str">
            <val>FASTENAL</val>
          </value>
        </values>
      </ddeItem>
      <ddeItem name="NQ.EQNQ.3489@last_price" advise="1">
        <values>
          <value>
            <val>47.3</val>
          </value>
        </values>
      </ddeItem>
      <ddeItem name="NQ.EQNQ.3489@lst_prctck" advise="1">
        <values>
          <value t="str">
            <val>- + + + -</val>
          </value>
        </values>
      </ddeItem>
      <ddeItem name="NQ.EQNQ.3489@percentage_change" advise="1">
        <values>
          <value>
            <val>0.38</val>
          </value>
        </values>
      </ddeItem>
      <ddeItem name="NQ.EQNQ.3489@prc_ql_cd" advise="1">
        <values>
          <value t="str">
            <val>CONT</val>
          </value>
        </values>
      </ddeItem>
      <ddeItem name="NQ.EQNQ.3489@symbol" advise="1">
        <values>
          <value t="str">
            <val>FAST</val>
          </value>
        </values>
      </ddeItem>
      <ddeItem name="NQ.EQNQ.3489@trade_count" advise="1">
        <values>
          <value t="nil">
            <val>1</val>
          </value>
        </values>
      </ddeItem>
      <ddeItem name="NQ.EQNQ.3489@trade_time" advise="1">
        <values>
          <value t="str">
            <val>22.00.00</val>
          </value>
        </values>
      </ddeItem>
      <ddeItem name="NQ.EQNQ.3489@trade_volume_bi" advise="1">
        <values>
          <value>
            <val>2458334</val>
          </value>
        </values>
      </ddeItem>
      <ddeItem name="NQ.EQNQ.3545@best_asiz1" advise="1">
        <values>
          <value>
            <val>100</val>
          </value>
        </values>
      </ddeItem>
      <ddeItem name="NQ.EQNQ.3545@best_ask1" advise="1">
        <values>
          <value>
            <val>96.81</val>
          </value>
        </values>
      </ddeItem>
      <ddeItem name="NQ.EQNQ.3545@best_bid1" advise="1">
        <values>
          <value>
            <val>95.9</val>
          </value>
        </values>
      </ddeItem>
      <ddeItem name="NQ.EQNQ.3545@best_bsiz1" advise="1">
        <values>
          <value>
            <val>100</val>
          </value>
        </values>
      </ddeItem>
      <ddeItem name="NQ.EQNQ.3545@exchange_name" advise="1">
        <values>
          <value t="str">
            <val>NASDAQ</val>
          </value>
        </values>
      </ddeItem>
      <ddeItem name="NQ.EQNQ.3545@instrument_name" advise="1">
        <values>
          <value t="str">
            <val>PACCAR INC.</val>
          </value>
        </values>
      </ddeItem>
      <ddeItem name="NQ.EQNQ.3545@last_price" advise="1">
        <values>
          <value>
            <val>96.58</val>
          </value>
        </values>
      </ddeItem>
      <ddeItem name="NQ.EQNQ.3545@lst_prctck" advise="1">
        <values>
          <value t="str">
            <val>+ - + + -</val>
          </value>
        </values>
      </ddeItem>
      <ddeItem name="NQ.EQNQ.3545@percentage_change" advise="1">
        <values>
          <value>
            <val>-0.54</val>
          </value>
        </values>
      </ddeItem>
      <ddeItem name="NQ.EQNQ.3545@prc_ql_cd" advise="1">
        <values>
          <value t="str">
            <val>CONT</val>
          </value>
        </values>
      </ddeItem>
      <ddeItem name="NQ.EQNQ.3545@symbol" advise="1">
        <values>
          <value t="str">
            <val>PCAR</val>
          </value>
        </values>
      </ddeItem>
      <ddeItem name="NQ.EQNQ.3545@trade_count" advise="1">
        <values>
          <value t="nil">
            <val>1</val>
          </value>
        </values>
      </ddeItem>
      <ddeItem name="NQ.EQNQ.3545@trade_time" advise="1">
        <values>
          <value t="str">
            <val>22.00.00</val>
          </value>
        </values>
      </ddeItem>
      <ddeItem name="NQ.EQNQ.3545@trade_volume_bi" advise="1">
        <values>
          <value>
            <val>1686348</val>
          </value>
        </values>
      </ddeItem>
      <ddeItem name="NQ.EQNQ.3750@best_asiz1" advise="1">
        <values>
          <value>
            <val>100</val>
          </value>
        </values>
      </ddeItem>
      <ddeItem name="NQ.EQNQ.3750@best_ask1" advise="1">
        <values>
          <value>
            <val>141.79</val>
          </value>
        </values>
      </ddeItem>
      <ddeItem name="NQ.EQNQ.3750@best_bid1" advise="1">
        <values>
          <value>
            <val>139.62</val>
          </value>
        </values>
      </ddeItem>
      <ddeItem name="NQ.EQNQ.3750@best_bsiz1" advise="1">
        <values>
          <value>
            <val>200</val>
          </value>
        </values>
      </ddeItem>
      <ddeItem name="NQ.EQNQ.3750@exchange_name" advise="1">
        <values>
          <value t="str">
            <val>NASDAQ</val>
          </value>
        </values>
      </ddeItem>
      <ddeItem name="NQ.EQNQ.3750@instrument_name" advise="1">
        <values>
          <value t="str">
            <val>ELECTRONIC ARTS INC</val>
          </value>
        </values>
      </ddeItem>
      <ddeItem name="NQ.EQNQ.3750@last_price" advise="1">
        <values>
          <value>
            <val>141.22</val>
          </value>
        </values>
      </ddeItem>
      <ddeItem name="NQ.EQNQ.3750@lst_prctck" advise="1">
        <values>
          <value t="str">
            <val>+ - + - +</val>
          </value>
        </values>
      </ddeItem>
      <ddeItem name="NQ.EQNQ.3750@percentage_change" advise="1">
        <values>
          <value>
            <val>1.87</val>
          </value>
        </values>
      </ddeItem>
      <ddeItem name="NQ.EQNQ.3750@prc_ql_cd" advise="1">
        <values>
          <value t="str">
            <val>CONT</val>
          </value>
        </values>
      </ddeItem>
      <ddeItem name="NQ.EQNQ.3750@symbol" advise="1">
        <values>
          <value t="str">
            <val>EA</val>
          </value>
        </values>
      </ddeItem>
      <ddeItem name="NQ.EQNQ.3750@trade_count" advise="1">
        <values>
          <value t="nil">
            <val>1</val>
          </value>
        </values>
      </ddeItem>
      <ddeItem name="NQ.EQNQ.3750@trade_time" advise="1">
        <values>
          <value t="str">
            <val>22.00.00</val>
          </value>
        </values>
      </ddeItem>
      <ddeItem name="NQ.EQNQ.3750@trade_volume_bi" advise="1">
        <values>
          <value>
            <val>3792852</val>
          </value>
        </values>
      </ddeItem>
      <ddeItem name="NQ.EQNQ.381@best_asiz1" advise="1">
        <values>
          <value>
            <val>200</val>
          </value>
        </values>
      </ddeItem>
      <ddeItem name="NQ.EQNQ.381@best_ask1" advise="1">
        <values>
          <value>
            <val>48.12</val>
          </value>
        </values>
      </ddeItem>
      <ddeItem name="NQ.EQNQ.381@best_bid1" advise="1">
        <values>
          <value>
            <val>48</val>
          </value>
        </values>
      </ddeItem>
      <ddeItem name="NQ.EQNQ.381@best_bsiz1" advise="1">
        <values>
          <value>
            <val>1000</val>
          </value>
        </values>
      </ddeItem>
      <ddeItem name="NQ.EQNQ.381@exchange_name" advise="1">
        <values>
          <value t="str">
            <val>NASDAQ</val>
          </value>
        </values>
      </ddeItem>
      <ddeItem name="NQ.EQNQ.381@instrument_name" advise="1">
        <values>
          <value t="str">
            <val>CISCO SYSTEMS</val>
          </value>
        </values>
      </ddeItem>
      <ddeItem name="NQ.EQNQ.381@last_price" advise="1">
        <values>
          <value>
            <val>48.08</val>
          </value>
        </values>
      </ddeItem>
      <ddeItem name="NQ.EQNQ.381@lst_prctck" advise="1">
        <values>
          <value t="str">
            <val>- + - - -</val>
          </value>
        </values>
      </ddeItem>
      <ddeItem name="NQ.EQNQ.381@percentage_change" advise="1">
        <values>
          <value>
            <val>1.76</val>
          </value>
        </values>
      </ddeItem>
      <ddeItem name="NQ.EQNQ.381@prc_ql_cd" advise="1">
        <values>
          <value t="str">
            <val>CONT</val>
          </value>
        </values>
      </ddeItem>
      <ddeItem name="NQ.EQNQ.381@symbol" advise="1">
        <values>
          <value t="str">
            <val>CSCO</val>
          </value>
        </values>
      </ddeItem>
      <ddeItem name="NQ.EQNQ.381@trade_count" advise="1">
        <values>
          <value t="nil">
            <val>1</val>
          </value>
        </values>
      </ddeItem>
      <ddeItem name="NQ.EQNQ.381@trade_time" advise="1">
        <values>
          <value t="str">
            <val>22.00.00</val>
          </value>
        </values>
      </ddeItem>
      <ddeItem name="NQ.EQNQ.381@trade_volume_bi" advise="1">
        <values>
          <value>
            <val>25214131</val>
          </value>
        </values>
      </ddeItem>
      <ddeItem name="NQ.EQNQ.392@best_asiz1" advise="1">
        <values>
          <value>
            <val>400</val>
          </value>
        </values>
      </ddeItem>
      <ddeItem name="NQ.EQNQ.392@best_ask1" advise="1">
        <values>
          <value>
            <val>58.27</val>
          </value>
        </values>
      </ddeItem>
      <ddeItem name="NQ.EQNQ.392@best_bid1" advise="1">
        <values>
          <value>
            <val>58.2</val>
          </value>
        </values>
      </ddeItem>
      <ddeItem name="NQ.EQNQ.392@best_bsiz1" advise="1">
        <values>
          <value>
            <val>300</val>
          </value>
        </values>
      </ddeItem>
      <ddeItem name="NQ.EQNQ.392@exchange_name" advise="1">
        <values>
          <value t="str">
            <val>NASDAQ</val>
          </value>
        </values>
      </ddeItem>
      <ddeItem name="NQ.EQNQ.392@instrument_name" advise="1">
        <values>
          <value t="str">
            <val>INTEL CORP.</val>
          </value>
        </values>
      </ddeItem>
      <ddeItem name="NQ.EQNQ.392@last_price" advise="1">
        <values>
          <value>
            <val>58.18</val>
          </value>
        </values>
      </ddeItem>
      <ddeItem name="NQ.EQNQ.392@lst_prctck" advise="1">
        <values>
          <value t="str">
            <val>+ + - - +</val>
          </value>
        </values>
      </ddeItem>
      <ddeItem name="NQ.EQNQ.392@percentage_change" advise="1">
        <values>
          <value>
            <val>-1.04</val>
          </value>
        </values>
      </ddeItem>
      <ddeItem name="NQ.EQNQ.392@prc_ql_cd" advise="1">
        <values>
          <value t="str">
            <val>CONT</val>
          </value>
        </values>
      </ddeItem>
      <ddeItem name="NQ.EQNQ.392@symbol" advise="1">
        <values>
          <value t="str">
            <val>INTC</val>
          </value>
        </values>
      </ddeItem>
      <ddeItem name="NQ.EQNQ.392@trade_count" advise="1">
        <values>
          <value t="nil">
            <val>1</val>
          </value>
        </values>
      </ddeItem>
      <ddeItem name="NQ.EQNQ.392@trade_time" advise="1">
        <values>
          <value t="str">
            <val>22.00.00</val>
          </value>
        </values>
      </ddeItem>
      <ddeItem name="NQ.EQNQ.392@trade_volume_bi" advise="1">
        <values>
          <value>
            <val>23371095</val>
          </value>
        </values>
      </ddeItem>
      <ddeItem name="NQ.EQNQ.44696@best_asiz1" advise="1">
        <values>
          <value>
            <val>500</val>
          </value>
        </values>
      </ddeItem>
      <ddeItem name="NQ.EQNQ.44696@best_ask1" advise="1">
        <values>
          <value>
            <val>68.489999999999995</val>
          </value>
        </values>
      </ddeItem>
      <ddeItem name="NQ.EQNQ.44696@best_bid1" advise="1">
        <values>
          <value>
            <val>68.34</val>
          </value>
        </values>
      </ddeItem>
      <ddeItem name="NQ.EQNQ.44696@best_bsiz1" advise="1">
        <values>
          <value>
            <val>300</val>
          </value>
        </values>
      </ddeItem>
      <ddeItem name="NQ.EQNQ.44696@exchange_name" advise="1">
        <values>
          <value t="str">
            <val>NASDAQ</val>
          </value>
        </values>
      </ddeItem>
      <ddeItem name="NQ.EQNQ.44696@instrument_name" advise="1">
        <values>
          <value t="str">
            <val>GILEAD SCIENCES INC</val>
          </value>
        </values>
      </ddeItem>
      <ddeItem name="NQ.EQNQ.44696@last_price" advise="1">
        <values>
          <value>
            <val>68.459999999999994</val>
          </value>
        </values>
      </ddeItem>
      <ddeItem name="NQ.EQNQ.44696@lst_prctck" advise="1">
        <values>
          <value t="str">
            <val>- + + - +</val>
          </value>
        </values>
      </ddeItem>
      <ddeItem name="NQ.EQNQ.44696@percentage_change" advise="1">
        <values>
          <value>
            <val>4</val>
          </value>
        </values>
      </ddeItem>
      <ddeItem name="NQ.EQNQ.44696@prc_ql_cd" advise="1">
        <values>
          <value t="str">
            <val>CONT</val>
          </value>
        </values>
      </ddeItem>
      <ddeItem name="NQ.EQNQ.44696@symbol" advise="1">
        <values>
          <value t="str">
            <val>GILD</val>
          </value>
        </values>
      </ddeItem>
      <ddeItem name="NQ.EQNQ.44696@trade_count" advise="1">
        <values>
          <value t="nil">
            <val>1</val>
          </value>
        </values>
      </ddeItem>
      <ddeItem name="NQ.EQNQ.44696@trade_time" advise="1">
        <values>
          <value t="str">
            <val>22.00.00</val>
          </value>
        </values>
      </ddeItem>
      <ddeItem name="NQ.EQNQ.44696@trade_volume_bi" advise="1">
        <values>
          <value>
            <val>14967626</val>
          </value>
        </values>
      </ddeItem>
      <ddeItem name="NQ.EQNQ.47416@best_asiz1" advise="1">
        <values>
          <value>
            <val>100</val>
          </value>
        </values>
      </ddeItem>
      <ddeItem name="NQ.EQNQ.47416@best_ask1" advise="1">
        <values>
          <value>
            <val>308.32</val>
          </value>
        </values>
      </ddeItem>
      <ddeItem name="NQ.EQNQ.47416@best_bid1" advise="1">
        <values>
          <value>
            <val>305</val>
          </value>
        </values>
      </ddeItem>
      <ddeItem name="NQ.EQNQ.47416@best_bsiz1" advise="1">
        <values>
          <value>
            <val>100</val>
          </value>
        </values>
      </ddeItem>
      <ddeItem name="NQ.EQNQ.47416@exchange_name" advise="1">
        <values>
          <value t="str">
            <val>NASDAQ</val>
          </value>
        </values>
      </ddeItem>
      <ddeItem name="NQ.EQNQ.47416@instrument_name" advise="1">
        <values>
          <value t="str">
            <val>AUTODESK INC</val>
          </value>
        </values>
      </ddeItem>
      <ddeItem name="NQ.EQNQ.47416@last_price" advise="1">
        <values>
          <value>
            <val>305.86</val>
          </value>
        </values>
      </ddeItem>
      <ddeItem name="NQ.EQNQ.47416@lst_prctck" advise="1">
        <values>
          <value t="str">
            <val>- + + - -</val>
          </value>
        </values>
      </ddeItem>
      <ddeItem name="NQ.EQNQ.47416@percentage_change" advise="1">
        <values>
          <value>
            <val>1.79</val>
          </value>
        </values>
      </ddeItem>
      <ddeItem name="NQ.EQNQ.47416@prc_ql_cd" advise="1">
        <values>
          <value t="str">
            <val>CONT</val>
          </value>
        </values>
      </ddeItem>
      <ddeItem name="NQ.EQNQ.47416@symbol" advise="1">
        <values>
          <value t="str">
            <val>ADSK</val>
          </value>
        </values>
      </ddeItem>
      <ddeItem name="NQ.EQNQ.47416@trade_count" advise="1">
        <values>
          <value t="nil">
            <val>1</val>
          </value>
        </values>
      </ddeItem>
      <ddeItem name="NQ.EQNQ.47416@trade_time" advise="1">
        <values>
          <value t="str">
            <val>22.00.00</val>
          </value>
        </values>
      </ddeItem>
      <ddeItem name="NQ.EQNQ.47416@trade_volume_bi" advise="1">
        <values>
          <value>
            <val>1085124</val>
          </value>
        </values>
      </ddeItem>
      <ddeItem name="NQ.EQNQ.47716@best_asiz1" advise="1">
        <values>
          <value>
            <val>200</val>
          </value>
        </values>
      </ddeItem>
      <ddeItem name="NQ.EQNQ.47716@best_ask1" advise="1">
        <values>
          <value>
            <val>145.65</val>
          </value>
        </values>
      </ddeItem>
      <ddeItem name="NQ.EQNQ.47716@best_bid1" advise="1">
        <values>
          <value>
            <val>144.66</val>
          </value>
        </values>
      </ddeItem>
      <ddeItem name="NQ.EQNQ.47716@best_bsiz1" advise="1">
        <values>
          <value>
            <val>100</val>
          </value>
        </values>
      </ddeItem>
      <ddeItem name="NQ.EQNQ.47716@exchange_name" advise="1">
        <values>
          <value t="str">
            <val>NASDAQ</val>
          </value>
        </values>
      </ddeItem>
      <ddeItem name="NQ.EQNQ.47716@instrument_name" advise="1">
        <values>
          <value t="str">
            <val>MICROCHIP TECHNOLOGY INC</val>
          </value>
        </values>
      </ddeItem>
      <ddeItem name="NQ.EQNQ.47716@last_price" advise="1">
        <values>
          <value>
            <val>145.44</val>
          </value>
        </values>
      </ddeItem>
      <ddeItem name="NQ.EQNQ.47716@lst_prctck" advise="1">
        <values>
          <value t="str">
            <val>- - - + +</val>
          </value>
        </values>
      </ddeItem>
      <ddeItem name="NQ.EQNQ.47716@percentage_change" advise="1">
        <values>
          <value>
            <val>1.18</val>
          </value>
        </values>
      </ddeItem>
      <ddeItem name="NQ.EQNQ.47716@prc_ql_cd" advise="1">
        <values>
          <value t="str">
            <val>CONT</val>
          </value>
        </values>
      </ddeItem>
      <ddeItem name="NQ.EQNQ.47716@symbol" advise="1">
        <values>
          <value t="str">
            <val>MCHP</val>
          </value>
        </values>
      </ddeItem>
      <ddeItem name="NQ.EQNQ.47716@trade_count" advise="1">
        <values>
          <value t="nil">
            <val>1</val>
          </value>
        </values>
      </ddeItem>
      <ddeItem name="NQ.EQNQ.47716@trade_time" advise="1">
        <values>
          <value t="str">
            <val>22.00.01</val>
          </value>
        </values>
      </ddeItem>
      <ddeItem name="NQ.EQNQ.47716@trade_volume_bi" advise="1">
        <values>
          <value>
            <val>2824611</val>
          </value>
        </values>
      </ddeItem>
      <ddeItem name="NQ.EQNQ.49518@best_asiz1" advise="1">
        <values>
          <value>
            <val>300</val>
          </value>
        </values>
      </ddeItem>
      <ddeItem name="NQ.EQNQ.49518@best_ask1" advise="1">
        <values>
          <value>
            <val>179.15</val>
          </value>
        </values>
      </ddeItem>
      <ddeItem name="NQ.EQNQ.49518@best_bid1" advise="1">
        <values>
          <value>
            <val>178.51</val>
          </value>
        </values>
      </ddeItem>
      <ddeItem name="NQ.EQNQ.49518@best_bsiz1" advise="1">
        <values>
          <value>
            <val>100</val>
          </value>
        </values>
      </ddeItem>
      <ddeItem name="NQ.EQNQ.49518@exchange_name" advise="1">
        <values>
          <value t="str">
            <val>NASDAQ</val>
          </value>
        </values>
      </ddeItem>
      <ddeItem name="NQ.EQNQ.49518@instrument_name" advise="1">
        <values>
          <value t="str">
            <val>SKYWORKS SOLUTIONS</val>
          </value>
        </values>
      </ddeItem>
      <ddeItem name="NQ.EQNQ.49518@last_price" advise="1">
        <values>
          <value>
            <val>178.95</val>
          </value>
        </values>
      </ddeItem>
      <ddeItem name="NQ.EQNQ.49518@lst_prctck" advise="1">
        <values>
          <value t="str">
            <val>+ - + - -</val>
          </value>
        </values>
      </ddeItem>
      <ddeItem name="NQ.EQNQ.49518@percentage_change" advise="1">
        <values>
          <value>
            <val>-0.08</val>
          </value>
        </values>
      </ddeItem>
      <ddeItem name="NQ.EQNQ.49518@prc_ql_cd" advise="1">
        <values>
          <value t="str">
            <val>CONT</val>
          </value>
        </values>
      </ddeItem>
      <ddeItem name="NQ.EQNQ.49518@symbol" advise="1">
        <values>
          <value t="str">
            <val>SWKS</val>
          </value>
        </values>
      </ddeItem>
      <ddeItem name="NQ.EQNQ.49518@trade_count" advise="1">
        <values>
          <value t="nil">
            <val>1</val>
          </value>
        </values>
      </ddeItem>
      <ddeItem name="NQ.EQNQ.49518@trade_time" advise="1">
        <values>
          <value t="str">
            <val>22.00.00</val>
          </value>
        </values>
      </ddeItem>
      <ddeItem name="NQ.EQNQ.49518@trade_volume_bi" advise="1">
        <values>
          <value>
            <val>2423570</val>
          </value>
        </values>
      </ddeItem>
      <ddeItem name="NQ.EQNQ.5022@best_asiz1" advise="1">
        <values>
          <value>
            <val>100</val>
          </value>
        </values>
      </ddeItem>
      <ddeItem name="NQ.EQNQ.5022@best_ask1" advise="1">
        <values>
          <value>
            <val>118.3</val>
          </value>
        </values>
      </ddeItem>
      <ddeItem name="NQ.EQNQ.5022@best_bid1" advise="1">
        <values>
          <value>
            <val>117.81</val>
          </value>
        </values>
      </ddeItem>
      <ddeItem name="NQ.EQNQ.5022@best_bsiz1" advise="1">
        <values>
          <value>
            <val>200</val>
          </value>
        </values>
      </ddeItem>
      <ddeItem name="NQ.EQNQ.5022@exchange_name" advise="1">
        <values>
          <value t="str">
            <val>NASDAQ</val>
          </value>
        </values>
      </ddeItem>
      <ddeItem name="NQ.EQNQ.5022@instrument_name" advise="1">
        <values>
          <value t="str">
            <val>CHECK POINT SOFTWARE TECH.</val>
          </value>
        </values>
      </ddeItem>
      <ddeItem name="NQ.EQNQ.5022@last_price" advise="1">
        <values>
          <value>
            <val>118.26</val>
          </value>
        </values>
      </ddeItem>
      <ddeItem name="NQ.EQNQ.5022@lst_prctck" advise="1">
        <values>
          <value t="str">
            <val>+ - - - +</val>
          </value>
        </values>
      </ddeItem>
      <ddeItem name="NQ.EQNQ.5022@percentage_change" advise="1">
        <values>
          <value>
            <val>-1.92</val>
          </value>
        </values>
      </ddeItem>
      <ddeItem name="NQ.EQNQ.5022@prc_ql_cd" advise="1">
        <values>
          <value t="str">
            <val>CONT</val>
          </value>
        </values>
      </ddeItem>
      <ddeItem name="NQ.EQNQ.5022@symbol" advise="1">
        <values>
          <value t="str">
            <val>CHKP</val>
          </value>
        </values>
      </ddeItem>
      <ddeItem name="NQ.EQNQ.5022@trade_count" advise="1">
        <values>
          <value t="nil">
            <val>1</val>
          </value>
        </values>
      </ddeItem>
      <ddeItem name="NQ.EQNQ.5022@trade_time" advise="1">
        <values>
          <value t="str">
            <val>22.00.01</val>
          </value>
        </values>
      </ddeItem>
      <ddeItem name="NQ.EQNQ.5022@trade_volume_bi" advise="1">
        <values>
          <value>
            <val>2224619</val>
          </value>
        </values>
      </ddeItem>
      <ddeItem name="NQ.EQNQ.55548@best_asiz1" advise="1">
        <values>
          <value>
            <val>200</val>
          </value>
        </values>
      </ddeItem>
      <ddeItem name="NQ.EQNQ.55548@best_ask1" advise="1">
        <values>
          <value>
            <val>51.2</val>
          </value>
        </values>
      </ddeItem>
      <ddeItem name="NQ.EQNQ.55548@best_bid1" advise="1">
        <values>
          <value>
            <val>51.13</val>
          </value>
        </values>
      </ddeItem>
      <ddeItem name="NQ.EQNQ.55548@best_bsiz1" advise="1">
        <values>
          <value>
            <val>100</val>
          </value>
        </values>
      </ddeItem>
      <ddeItem name="NQ.EQNQ.55548@exchange_name" advise="1">
        <values>
          <value t="str">
            <val>NASDAQ</val>
          </value>
        </values>
      </ddeItem>
      <ddeItem name="NQ.EQNQ.55548@instrument_name" advise="1">
        <values>
          <value t="str">
            <val>COMCAST-A</val>
          </value>
        </values>
      </ddeItem>
      <ddeItem name="NQ.EQNQ.55548@last_price" advise="1">
        <values>
          <value>
            <val>51.11</val>
          </value>
        </values>
      </ddeItem>
      <ddeItem name="NQ.EQNQ.55548@lst_prctck" advise="1">
        <values>
          <value t="str">
            <val>- - - - +</val>
          </value>
        </values>
      </ddeItem>
      <ddeItem name="NQ.EQNQ.55548@percentage_change" advise="1">
        <values>
          <value>
            <val>-0.66</val>
          </value>
        </values>
      </ddeItem>
      <ddeItem name="NQ.EQNQ.55548@prc_ql_cd" advise="1">
        <values>
          <value t="str">
            <val>CONT</val>
          </value>
        </values>
      </ddeItem>
      <ddeItem name="NQ.EQNQ.55548@symbol" advise="1">
        <values>
          <value t="str">
            <val>CMCSA</val>
          </value>
        </values>
      </ddeItem>
      <ddeItem name="NQ.EQNQ.55548@trade_count" advise="1">
        <values>
          <value t="nil">
            <val>1</val>
          </value>
        </values>
      </ddeItem>
      <ddeItem name="NQ.EQNQ.55548@trade_time" advise="1">
        <values>
          <value t="str">
            <val>22.00.00</val>
          </value>
        </values>
      </ddeItem>
      <ddeItem name="NQ.EQNQ.55548@trade_volume_bi" advise="1">
        <values>
          <value>
            <val>11433481</val>
          </value>
        </values>
      </ddeItem>
      <ddeItem name="NQ.EQNQ.556@best_asiz1" advise="1">
        <values>
          <value>
            <val>100</val>
          </value>
        </values>
      </ddeItem>
      <ddeItem name="NQ.EQNQ.556@best_ask1" advise="1">
        <values>
          <value>
            <val>170.04</val>
          </value>
        </values>
      </ddeItem>
      <ddeItem name="NQ.EQNQ.556@best_bid1" advise="1">
        <values>
          <value>
            <val>169.96</val>
          </value>
        </values>
      </ddeItem>
      <ddeItem name="NQ.EQNQ.556@best_bsiz1" advise="1">
        <values>
          <value>
            <val>200</val>
          </value>
        </values>
      </ddeItem>
      <ddeItem name="NQ.EQNQ.556@exchange_name" advise="1">
        <values>
          <value t="str">
            <val>NASDAQ</val>
          </value>
        </values>
      </ddeItem>
      <ddeItem name="NQ.EQNQ.556@instrument_name" advise="1">
        <values>
          <value t="str">
            <val>TEXAS INSTRUMENTS INC.</val>
          </value>
        </values>
      </ddeItem>
      <ddeItem name="NQ.EQNQ.556@last_price" advise="1">
        <values>
          <value>
            <val>169.93</val>
          </value>
        </values>
      </ddeItem>
      <ddeItem name="NQ.EQNQ.556@lst_prctck" advise="1">
        <values>
          <value t="str">
            <val>- - - + -</val>
          </value>
        </values>
      </ddeItem>
      <ddeItem name="NQ.EQNQ.556@percentage_change" advise="1">
        <values>
          <value>
            <val>-1.2</val>
          </value>
        </values>
      </ddeItem>
      <ddeItem name="NQ.EQNQ.556@prc_ql_cd" advise="1">
        <values>
          <value t="str">
            <val>CONT</val>
          </value>
        </values>
      </ddeItem>
      <ddeItem name="NQ.EQNQ.556@symbol" advise="1">
        <values>
          <value t="str">
            <val>TXN</val>
          </value>
        </values>
      </ddeItem>
      <ddeItem name="NQ.EQNQ.556@trade_count" advise="1">
        <values>
          <value t="nil">
            <val>1</val>
          </value>
        </values>
      </ddeItem>
      <ddeItem name="NQ.EQNQ.556@trade_time" advise="1">
        <values>
          <value t="str">
            <val>22.00.00</val>
          </value>
        </values>
      </ddeItem>
      <ddeItem name="NQ.EQNQ.556@trade_volume_bi" advise="1">
        <values>
          <value>
            <val>3792047</val>
          </value>
        </values>
      </ddeItem>
      <ddeItem name="NQ.EQNQ.601192@best_asiz1" advise="1">
        <values>
          <value>
            <val>200</val>
          </value>
        </values>
      </ddeItem>
      <ddeItem name="NQ.EQNQ.601192@best_ask1" advise="1">
        <values>
          <value>
            <val>458</val>
          </value>
        </values>
      </ddeItem>
      <ddeItem name="NQ.EQNQ.601192@best_bid1" advise="1">
        <values>
          <value>
            <val>447.5</val>
          </value>
        </values>
      </ddeItem>
      <ddeItem name="NQ.EQNQ.601192@best_bsiz1" advise="1">
        <values>
          <value>
            <val>200</val>
          </value>
        </values>
      </ddeItem>
      <ddeItem name="NQ.EQNQ.601192@exchange_name" advise="1">
        <values>
          <value t="str">
            <val>NASDAQ</val>
          </value>
        </values>
      </ddeItem>
      <ddeItem name="NQ.EQNQ.601192@instrument_name" advise="1">
        <values>
          <value t="str">
            <val>O'REILLY AUTOMOTIVE ORD SHS USD</val>
          </value>
        </values>
      </ddeItem>
      <ddeItem name="NQ.EQNQ.601192@last_price" advise="1">
        <values>
          <value>
            <val>448.29</val>
          </value>
        </values>
      </ddeItem>
      <ddeItem name="NQ.EQNQ.601192@lst_prctck" advise="1">
        <values>
          <value t="str">
            <val>+ + - + +</val>
          </value>
        </values>
      </ddeItem>
      <ddeItem name="NQ.EQNQ.601192@percentage_change" advise="1">
        <values>
          <value>
            <val>-0.79</val>
          </value>
        </values>
      </ddeItem>
      <ddeItem name="NQ.EQNQ.601192@prc_ql_cd" advise="1">
        <values>
          <value t="str">
            <val>CONT</val>
          </value>
        </values>
      </ddeItem>
      <ddeItem name="NQ.EQNQ.601192@symbol" advise="1">
        <values>
          <value t="str">
            <val>ORLY</val>
          </value>
        </values>
      </ddeItem>
      <ddeItem name="NQ.EQNQ.601192@trade_count" advise="1">
        <values>
          <value t="nil">
            <val>1</val>
          </value>
        </values>
      </ddeItem>
      <ddeItem name="NQ.EQNQ.601192@trade_time" advise="1">
        <values>
          <value t="str">
            <val>22.00.00</val>
          </value>
        </values>
      </ddeItem>
      <ddeItem name="NQ.EQNQ.601192@trade_volume_bi" advise="1">
        <values>
          <value>
            <val>615216</val>
          </value>
        </values>
      </ddeItem>
      <ddeItem name="NQ.EQNQ.60897@best_asiz1" advise="1">
        <values>
          <value>
            <val>100</val>
          </value>
        </values>
      </ddeItem>
      <ddeItem name="NQ.EQNQ.60897@best_ask1" advise="1">
        <values>
          <value>
            <val>550.66</val>
          </value>
        </values>
      </ddeItem>
      <ddeItem name="NQ.EQNQ.60897@best_bid1" advise="1">
        <values>
          <value>
            <val>550</val>
          </value>
        </values>
      </ddeItem>
      <ddeItem name="NQ.EQNQ.60897@best_bsiz1" advise="1">
        <values>
          <value>
            <val>100</val>
          </value>
        </values>
      </ddeItem>
      <ddeItem name="NQ.EQNQ.60897@exchange_name" advise="1">
        <values>
          <value t="str">
            <val>NASDAQ</val>
          </value>
        </values>
      </ddeItem>
      <ddeItem name="NQ.EQNQ.60897@instrument_name" advise="1">
        <values>
          <value t="str">
            <val>NETFLIX.COM</val>
          </value>
        </values>
      </ddeItem>
      <ddeItem name="NQ.EQNQ.60897@last_price" advise="1">
        <values>
          <value>
            <val>550.79</val>
          </value>
        </values>
      </ddeItem>
      <ddeItem name="NQ.EQNQ.60897@lst_prctck" advise="1">
        <values>
          <value t="str">
            <val>+ + - + +</val>
          </value>
        </values>
      </ddeItem>
      <ddeItem name="NQ.EQNQ.60897@percentage_change" advise="1">
        <values>
          <value>
            <val>-0.25</val>
          </value>
        </values>
      </ddeItem>
      <ddeItem name="NQ.EQNQ.60897@prc_ql_cd" advise="1">
        <values>
          <value t="str">
            <val>CONT</val>
          </value>
        </values>
      </ddeItem>
      <ddeItem name="NQ.EQNQ.60897@symbol" advise="1">
        <values>
          <value t="str">
            <val>NFLX</val>
          </value>
        </values>
      </ddeItem>
      <ddeItem name="NQ.EQNQ.60897@trade_count" advise="1">
        <values>
          <value t="nil">
            <val>1</val>
          </value>
        </values>
      </ddeItem>
      <ddeItem name="NQ.EQNQ.60897@trade_time" advise="1">
        <values>
          <value t="str">
            <val>22.00.01</val>
          </value>
        </values>
      </ddeItem>
      <ddeItem name="NQ.EQNQ.60897@trade_volume_bi" advise="1">
        <values>
          <value>
            <val>2361496</val>
          </value>
        </values>
      </ddeItem>
      <ddeItem name="NQ.EQNQ.615@best_asiz1" advise="1">
        <values>
          <value>
            <val>100</val>
          </value>
        </values>
      </ddeItem>
      <ddeItem name="NQ.EQNQ.615@best_ask1" advise="1">
        <values>
          <value>
            <val>514.98</val>
          </value>
        </values>
      </ddeItem>
      <ddeItem name="NQ.EQNQ.615@best_bid1" advise="1">
        <values>
          <value>
            <val>509.01</val>
          </value>
        </values>
      </ddeItem>
      <ddeItem name="NQ.EQNQ.615@best_bsiz1" advise="1">
        <values>
          <value>
            <val>100</val>
          </value>
        </values>
      </ddeItem>
      <ddeItem name="NQ.EQNQ.615@exchange_name" advise="1">
        <values>
          <value t="str">
            <val>NASDAQ</val>
          </value>
        </values>
      </ddeItem>
      <ddeItem name="NQ.EQNQ.615@instrument_name" advise="1">
        <values>
          <value t="str">
            <val>LAM RESEARCH CORP.</val>
          </value>
        </values>
      </ddeItem>
      <ddeItem name="NQ.EQNQ.615@last_price" advise="1">
        <values>
          <value>
            <val>509.76</val>
          </value>
        </values>
      </ddeItem>
      <ddeItem name="NQ.EQNQ.615@lst_prctck" advise="1">
        <values>
          <value t="str">
            <val>+ + + - -</val>
          </value>
        </values>
      </ddeItem>
      <ddeItem name="NQ.EQNQ.615@percentage_change" advise="1">
        <values>
          <value>
            <val>-1.88</val>
          </value>
        </values>
      </ddeItem>
      <ddeItem name="NQ.EQNQ.615@prc_ql_cd" advise="1">
        <values>
          <value t="str">
            <val>CONT</val>
          </value>
        </values>
      </ddeItem>
      <ddeItem name="NQ.EQNQ.615@symbol" advise="1">
        <values>
          <value t="str">
            <val>LRCX</val>
          </value>
        </values>
      </ddeItem>
      <ddeItem name="NQ.EQNQ.615@trade_count" advise="1">
        <values>
          <value t="nil">
            <val>1</val>
          </value>
        </values>
      </ddeItem>
      <ddeItem name="NQ.EQNQ.615@trade_time" advise="1">
        <values>
          <value t="str">
            <val>22.00.00</val>
          </value>
        </values>
      </ddeItem>
      <ddeItem name="NQ.EQNQ.615@trade_volume_bi" advise="1">
        <values>
          <value>
            <val>1232134</val>
          </value>
        </values>
      </ddeItem>
      <ddeItem name="NQ.EQNQ.6350@best_asiz1" advise="1">
        <values>
          <value>
            <val>100</val>
          </value>
        </values>
      </ddeItem>
      <ddeItem name="NQ.EQNQ.6350@best_ask1" advise="1">
        <values>
          <value>
            <val>155.13</val>
          </value>
        </values>
      </ddeItem>
      <ddeItem name="NQ.EQNQ.6350@best_bid1" advise="1">
        <values>
          <value>
            <val>150</val>
          </value>
        </values>
      </ddeItem>
      <ddeItem name="NQ.EQNQ.6350@best_bsiz1" advise="1">
        <values>
          <value>
            <val>100</val>
          </value>
        </values>
      </ddeItem>
      <ddeItem name="NQ.EQNQ.6350@exchange_name" advise="1">
        <values>
          <value t="str">
            <val>NASDAQ</val>
          </value>
        </values>
      </ddeItem>
      <ddeItem name="NQ.EQNQ.6350@instrument_name" advise="1">
        <values>
          <value t="str">
            <val>ALEXION PHARM</val>
          </value>
        </values>
      </ddeItem>
      <ddeItem name="NQ.EQNQ.6350@last_price" advise="1">
        <values>
          <value>
            <val>153.91999999999999</val>
          </value>
        </values>
      </ddeItem>
      <ddeItem name="NQ.EQNQ.6350@lst_prctck" advise="1">
        <values>
          <value t="str">
            <val>- - - + -</val>
          </value>
        </values>
      </ddeItem>
      <ddeItem name="NQ.EQNQ.6350@percentage_change" advise="1">
        <values>
          <value>
            <val>-1.07</val>
          </value>
        </values>
      </ddeItem>
      <ddeItem name="NQ.EQNQ.6350@prc_ql_cd" advise="1">
        <values>
          <value t="str">
            <val>CONT</val>
          </value>
        </values>
      </ddeItem>
      <ddeItem name="NQ.EQNQ.6350@symbol" advise="1">
        <values>
          <value t="str">
            <val>ALXN</val>
          </value>
        </values>
      </ddeItem>
      <ddeItem name="NQ.EQNQ.6350@trade_count" advise="1">
        <values>
          <value t="nil">
            <val>1</val>
          </value>
        </values>
      </ddeItem>
      <ddeItem name="NQ.EQNQ.6350@trade_time" advise="1">
        <values>
          <value t="str">
            <val>22.00.00</val>
          </value>
        </values>
      </ddeItem>
      <ddeItem name="NQ.EQNQ.6350@trade_volume_bi" advise="1">
        <values>
          <value>
            <val>2210235</val>
          </value>
        </values>
      </ddeItem>
      <ddeItem name="NQ.EQNQ.6658@best_asiz1" advise="1">
        <values>
          <value>
            <val>100</val>
          </value>
        </values>
      </ddeItem>
      <ddeItem name="NQ.EQNQ.6658@best_ask1" advise="1">
        <values>
          <value>
            <val>215.42</val>
          </value>
        </values>
      </ddeItem>
      <ddeItem name="NQ.EQNQ.6658@best_bid1" advise="1">
        <values>
          <value>
            <val>214</val>
          </value>
        </values>
      </ddeItem>
      <ddeItem name="NQ.EQNQ.6658@best_bsiz1" advise="1">
        <values>
          <value>
            <val>100</val>
          </value>
        </values>
      </ddeItem>
      <ddeItem name="NQ.EQNQ.6658@exchange_name" advise="1">
        <values>
          <value t="str">
            <val>NASDAQ</val>
          </value>
        </values>
      </ddeItem>
      <ddeItem name="NQ.EQNQ.6658@instrument_name" advise="1">
        <values>
          <value t="str">
            <val>VERTEX PHARMACEUTIC</val>
          </value>
        </values>
      </ddeItem>
      <ddeItem name="NQ.EQNQ.6658@last_price" advise="1">
        <values>
          <value>
            <val>215.26</val>
          </value>
        </values>
      </ddeItem>
      <ddeItem name="NQ.EQNQ.6658@lst_prctck" advise="1">
        <values>
          <value t="str">
            <val>- + - - +</val>
          </value>
        </values>
      </ddeItem>
      <ddeItem name="NQ.EQNQ.6658@percentage_change" advise="1">
        <values>
          <value>
            <val>0.73</val>
          </value>
        </values>
      </ddeItem>
      <ddeItem name="NQ.EQNQ.6658@prc_ql_cd" advise="1">
        <values>
          <value t="str">
            <val>CONT</val>
          </value>
        </values>
      </ddeItem>
      <ddeItem name="NQ.EQNQ.6658@symbol" advise="1">
        <values>
          <value t="str">
            <val>VRTX</val>
          </value>
        </values>
      </ddeItem>
      <ddeItem name="NQ.EQNQ.6658@trade_count" advise="1">
        <values>
          <value t="nil">
            <val>1</val>
          </value>
        </values>
      </ddeItem>
      <ddeItem name="NQ.EQNQ.6658@trade_time" advise="1">
        <values>
          <value t="str">
            <val>22.00.00</val>
          </value>
        </values>
      </ddeItem>
      <ddeItem name="NQ.EQNQ.6658@trade_volume_bi" advise="1">
        <values>
          <value>
            <val>2682952</val>
          </value>
        </values>
      </ddeItem>
      <ddeItem name="NQ.EQNQ.66846@best_asiz1" advise="1">
        <values>
          <value>
            <val>200</val>
          </value>
        </values>
      </ddeItem>
      <ddeItem name="NQ.EQNQ.66846@best_ask1" advise="1">
        <values>
          <value>
            <val>762.25</val>
          </value>
        </values>
      </ddeItem>
      <ddeItem name="NQ.EQNQ.66846@best_bid1" advise="1">
        <values>
          <value>
            <val>755.55</val>
          </value>
        </values>
      </ddeItem>
      <ddeItem name="NQ.EQNQ.66846@best_bsiz1" advise="1">
        <values>
          <value>
            <val>100</val>
          </value>
        </values>
      </ddeItem>
      <ddeItem name="NQ.EQNQ.66846@exchange_name" advise="1">
        <values>
          <value t="str">
            <val>NASDAQ</val>
          </value>
        </values>
      </ddeItem>
      <ddeItem name="NQ.EQNQ.66846@instrument_name" advise="1">
        <values>
          <value t="str">
            <val>INTUITIVE SURGICAL</val>
          </value>
        </values>
      </ddeItem>
      <ddeItem name="NQ.EQNQ.66846@last_price" advise="1">
        <values>
          <value>
            <val>762.25</val>
          </value>
        </values>
      </ddeItem>
      <ddeItem name="NQ.EQNQ.66846@lst_prctck" advise="1">
        <values>
          <value t="str">
            <val>+ - - + -</val>
          </value>
        </values>
      </ddeItem>
      <ddeItem name="NQ.EQNQ.66846@percentage_change" advise="1">
        <values>
          <value>
            <val>0.69</val>
          </value>
        </values>
      </ddeItem>
      <ddeItem name="NQ.EQNQ.66846@prc_ql_cd" advise="1">
        <values>
          <value t="str">
            <val>CONT</val>
          </value>
        </values>
      </ddeItem>
      <ddeItem name="NQ.EQNQ.66846@symbol" advise="1">
        <values>
          <value t="str">
            <val>ISRG</val>
          </value>
        </values>
      </ddeItem>
      <ddeItem name="NQ.EQNQ.66846@trade_count" advise="1">
        <values>
          <value t="nil">
            <val>1</val>
          </value>
        </values>
      </ddeItem>
      <ddeItem name="NQ.EQNQ.66846@trade_time" advise="1">
        <values>
          <value t="str">
            <val>22.00.01</val>
          </value>
        </values>
      </ddeItem>
      <ddeItem name="NQ.EQNQ.66846@trade_volume_bi" advise="1">
        <values>
          <value>
            <val>429523</val>
          </value>
        </values>
      </ddeItem>
      <ddeItem name="NQ.EQNQ.693327@best_asiz1" advise="1">
        <values>
          <value>
            <val>100</val>
          </value>
        </values>
      </ddeItem>
      <ddeItem name="NQ.EQNQ.693327@best_ask1" advise="1">
        <values>
          <value>
            <val>170.74</val>
          </value>
        </values>
      </ddeItem>
      <ddeItem name="NQ.EQNQ.693327@best_bid1" advise="1">
        <values>
          <value>
            <val>170.26</val>
          </value>
        </values>
      </ddeItem>
      <ddeItem name="NQ.EQNQ.693327@best_bsiz1" advise="1">
        <values>
          <value>
            <val>100</val>
          </value>
        </values>
      </ddeItem>
      <ddeItem name="NQ.EQNQ.693327@exchange_name" advise="1">
        <values>
          <value t="str">
            <val>NASDAQ</val>
          </value>
        </values>
      </ddeItem>
      <ddeItem name="NQ.EQNQ.693327@instrument_name" advise="1">
        <values>
          <value t="str">
            <val>SPLUNK-ORD SHS-USD</val>
          </value>
        </values>
      </ddeItem>
      <ddeItem name="NQ.EQNQ.693327@last_price" advise="1">
        <values>
          <value>
            <val>170.24</val>
          </value>
        </values>
      </ddeItem>
      <ddeItem name="NQ.EQNQ.693327@lst_prctck" advise="1">
        <values>
          <value t="str">
            <val>+ + - + +</val>
          </value>
        </values>
      </ddeItem>
      <ddeItem name="NQ.EQNQ.693327@percentage_change" advise="1">
        <values>
          <value>
            <val>-1.17</val>
          </value>
        </values>
      </ddeItem>
      <ddeItem name="NQ.EQNQ.693327@prc_ql_cd" advise="1">
        <values>
          <value t="str">
            <val>CONT</val>
          </value>
        </values>
      </ddeItem>
      <ddeItem name="NQ.EQNQ.693327@symbol" advise="1">
        <values>
          <value t="str">
            <val>SPLK</val>
          </value>
        </values>
      </ddeItem>
      <ddeItem name="NQ.EQNQ.693327@trade_count" advise="1">
        <values>
          <value t="nil">
            <val>1</val>
          </value>
        </values>
      </ddeItem>
      <ddeItem name="NQ.EQNQ.693327@trade_time" advise="1">
        <values>
          <value t="str">
            <val>22.00.00</val>
          </value>
        </values>
      </ddeItem>
      <ddeItem name="NQ.EQNQ.693327@trade_volume_bi" advise="1">
        <values>
          <value>
            <val>2569118</val>
          </value>
        </values>
      </ddeItem>
      <ddeItem name="NQ.EQNQ.696989@best_asiz1" advise="1">
        <values>
          <value>
            <val>400</val>
          </value>
        </values>
      </ddeItem>
      <ddeItem name="NQ.EQNQ.696989@best_ask1" advise="1">
        <values>
          <value>
            <val>268.10000000000002</val>
          </value>
        </values>
      </ddeItem>
      <ddeItem name="NQ.EQNQ.696989@best_bid1" advise="1">
        <values>
          <value>
            <val>267.83</val>
          </value>
        </values>
      </ddeItem>
      <ddeItem name="NQ.EQNQ.696989@best_bsiz1" advise="1">
        <values>
          <value>
            <val>100</val>
          </value>
        </values>
      </ddeItem>
      <ddeItem name="NQ.EQNQ.696989@exchange_name" advise="1">
        <values>
          <value t="str">
            <val>NASDAQ</val>
          </value>
        </values>
      </ddeItem>
      <ddeItem name="NQ.EQNQ.696989@instrument_name" advise="1">
        <values>
          <value t="str">
            <val>FACEBOOK-ORD SHS CL A-USD</val>
          </value>
        </values>
      </ddeItem>
      <ddeItem name="NQ.EQNQ.696989@last_price" advise="1">
        <values>
          <value>
            <val>268.10000000000002</val>
          </value>
        </values>
      </ddeItem>
      <ddeItem name="NQ.EQNQ.696989@lst_prctck" advise="1">
        <values>
          <value t="str">
            <val>- - - + +</val>
          </value>
        </values>
      </ddeItem>
      <ddeItem name="NQ.EQNQ.696989@percentage_change" advise="1">
        <values>
          <value>
            <val>0.6</val>
          </value>
        </values>
      </ddeItem>
      <ddeItem name="NQ.EQNQ.696989@prc_ql_cd" advise="1">
        <values>
          <value t="str">
            <val>CONT</val>
          </value>
        </values>
      </ddeItem>
      <ddeItem name="NQ.EQNQ.696989@symbol" advise="1">
        <values>
          <value t="str">
            <val>FB</val>
          </value>
        </values>
      </ddeItem>
      <ddeItem name="NQ.EQNQ.696989@trade_count" advise="1">
        <values>
          <value t="nil">
            <val>1</val>
          </value>
        </values>
      </ddeItem>
      <ddeItem name="NQ.EQNQ.696989@trade_time" advise="1">
        <values>
          <value t="str">
            <val>22.00.00</val>
          </value>
        </values>
      </ddeItem>
      <ddeItem name="NQ.EQNQ.696989@trade_volume_bi" advise="1">
        <values>
          <value>
            <val>12110956</val>
          </value>
        </values>
      </ddeItem>
      <ddeItem name="NQ.EQNQ.702@best_asiz1" advise="1">
        <values>
          <value>
            <val>100</val>
          </value>
        </values>
      </ddeItem>
      <ddeItem name="NQ.EQNQ.702@best_ask1" advise="1">
        <values>
          <value>
            <val>500</val>
          </value>
        </values>
      </ddeItem>
      <ddeItem name="NQ.EQNQ.702@best_bid1" advise="1">
        <values>
          <value>
            <val>498</val>
          </value>
        </values>
      </ddeItem>
      <ddeItem name="NQ.EQNQ.702@best_bsiz1" advise="1">
        <values>
          <value>
            <val>400</val>
          </value>
        </values>
      </ddeItem>
      <ddeItem name="NQ.EQNQ.702@exchange_name" advise="1">
        <values>
          <value t="str">
            <val>NASDAQ</val>
          </value>
        </values>
      </ddeItem>
      <ddeItem name="NQ.EQNQ.702@instrument_name" advise="1">
        <values>
          <value t="str">
            <val>REGENERON PHARMA</val>
          </value>
        </values>
      </ddeItem>
      <ddeItem name="NQ.EQNQ.702@last_price" advise="1">
        <values>
          <value>
            <val>498.98</val>
          </value>
        </values>
      </ddeItem>
      <ddeItem name="NQ.EQNQ.702@lst_prctck" advise="1">
        <values>
          <value t="str">
            <val>+ - + - -</val>
          </value>
        </values>
      </ddeItem>
      <ddeItem name="NQ.EQNQ.702@percentage_change" advise="1">
        <values>
          <value>
            <val>0.03</val>
          </value>
        </values>
      </ddeItem>
      <ddeItem name="NQ.EQNQ.702@prc_ql_cd" advise="1">
        <values>
          <value t="str">
            <val>CONT</val>
          </value>
        </values>
      </ddeItem>
      <ddeItem name="NQ.EQNQ.702@symbol" advise="1">
        <values>
          <value t="str">
            <val>REGN</val>
          </value>
        </values>
      </ddeItem>
      <ddeItem name="NQ.EQNQ.702@trade_count" advise="1">
        <values>
          <value t="nil">
            <val>1</val>
          </value>
        </values>
      </ddeItem>
      <ddeItem name="NQ.EQNQ.702@trade_time" advise="1">
        <values>
          <value t="str">
            <val>22.00.00</val>
          </value>
        </values>
      </ddeItem>
      <ddeItem name="NQ.EQNQ.702@trade_volume_bi" advise="1">
        <values>
          <value>
            <val>1597722</val>
          </value>
        </values>
      </ddeItem>
      <ddeItem name="NQ.EQNQ.708@best_asiz1" advise="1">
        <values>
          <value>
            <val>100</val>
          </value>
        </values>
      </ddeItem>
      <ddeItem name="NQ.EQNQ.708@best_ask1" advise="1">
        <values>
          <value>
            <val>492.42</val>
          </value>
        </values>
      </ddeItem>
      <ddeItem name="NQ.EQNQ.708@best_bid1" advise="1">
        <values>
          <value>
            <val>491</val>
          </value>
        </values>
      </ddeItem>
      <ddeItem name="NQ.EQNQ.708@best_bsiz1" advise="1">
        <values>
          <value>
            <val>200</val>
          </value>
        </values>
      </ddeItem>
      <ddeItem name="NQ.EQNQ.708@exchange_name" advise="1">
        <values>
          <value t="str">
            <val>NASDAQ</val>
          </value>
        </values>
      </ddeItem>
      <ddeItem name="NQ.EQNQ.708@instrument_name" advise="1">
        <values>
          <value t="str">
            <val>ADOBE SYSTEMS INC</val>
          </value>
        </values>
      </ddeItem>
      <ddeItem name="NQ.EQNQ.708@last_price" advise="1">
        <values>
          <value>
            <val>492.12</val>
          </value>
        </values>
      </ddeItem>
      <ddeItem name="NQ.EQNQ.708@lst_prctck" advise="1">
        <values>
          <value t="str">
            <val>+ + + + -</val>
          </value>
        </values>
      </ddeItem>
      <ddeItem name="NQ.EQNQ.708@percentage_change" advise="1">
        <values>
          <value>
            <val>0.56000000000000005</val>
          </value>
        </values>
      </ddeItem>
      <ddeItem name="NQ.EQNQ.708@prc_ql_cd" advise="1">
        <values>
          <value t="str">
            <val>CONT</val>
          </value>
        </values>
      </ddeItem>
      <ddeItem name="NQ.EQNQ.708@symbol" advise="1">
        <values>
          <value t="str">
            <val>ADBE</val>
          </value>
        </values>
      </ddeItem>
      <ddeItem name="NQ.EQNQ.708@trade_count" advise="1">
        <values>
          <value t="nil">
            <val>1</val>
          </value>
        </values>
      </ddeItem>
      <ddeItem name="NQ.EQNQ.708@trade_time" advise="1">
        <values>
          <value t="str">
            <val>22.00.00</val>
          </value>
        </values>
      </ddeItem>
      <ddeItem name="NQ.EQNQ.708@trade_volume_bi" advise="1">
        <values>
          <value>
            <val>1652869</val>
          </value>
        </values>
      </ddeItem>
      <ddeItem name="NQ.EQNQ.719700@best_asiz1" advise="1">
        <values>
          <value>
            <val>200</val>
          </value>
        </values>
      </ddeItem>
      <ddeItem name="NQ.EQNQ.719700@best_ask1" advise="1">
        <values>
          <value>
            <val>56.36</val>
          </value>
        </values>
      </ddeItem>
      <ddeItem name="NQ.EQNQ.719700@best_bid1" advise="1">
        <values>
          <value>
            <val>56.22</val>
          </value>
        </values>
      </ddeItem>
      <ddeItem name="NQ.EQNQ.719700@best_bsiz1" advise="1">
        <values>
          <value>
            <val>100</val>
          </value>
        </values>
      </ddeItem>
      <ddeItem name="NQ.EQNQ.719700@exchange_name" advise="1">
        <values>
          <value t="str">
            <val>NASDAQ</val>
          </value>
        </values>
      </ddeItem>
      <ddeItem name="NQ.EQNQ.719700@instrument_name" advise="1">
        <values>
          <value t="str">
            <val>MONDELEZ INTL-ORD SHS CL A W/I-USD</val>
          </value>
        </values>
      </ddeItem>
      <ddeItem name="NQ.EQNQ.719700@last_price" advise="1">
        <values>
          <value>
            <val>56.21</val>
          </value>
        </values>
      </ddeItem>
      <ddeItem name="NQ.EQNQ.719700@lst_prctck" advise="1">
        <values>
          <value t="str">
            <val>- + - + -</val>
          </value>
        </values>
      </ddeItem>
      <ddeItem name="NQ.EQNQ.719700@percentage_change" advise="1">
        <values>
          <value>
            <val>0.38</val>
          </value>
        </values>
      </ddeItem>
      <ddeItem name="NQ.EQNQ.719700@prc_ql_cd" advise="1">
        <values>
          <value t="str">
            <val>CONT</val>
          </value>
        </values>
      </ddeItem>
      <ddeItem name="NQ.EQNQ.719700@symbol" advise="1">
        <values>
          <value t="str">
            <val>MDLZ</val>
          </value>
        </values>
      </ddeItem>
      <ddeItem name="NQ.EQNQ.719700@trade_count" advise="1">
        <values>
          <value t="nil">
            <val>1</val>
          </value>
        </values>
      </ddeItem>
      <ddeItem name="NQ.EQNQ.719700@trade_time" advise="1">
        <values>
          <value t="str">
            <val>22.00.00</val>
          </value>
        </values>
      </ddeItem>
      <ddeItem name="NQ.EQNQ.719700@trade_volume_bi" advise="1">
        <values>
          <value>
            <val>4961019</val>
          </value>
        </values>
      </ddeItem>
      <ddeItem name="NQ.EQNQ.72894@best_asiz1" advise="1">
        <values>
          <value>
            <val>100</val>
          </value>
        </values>
      </ddeItem>
      <ddeItem name="NQ.EQNQ.72894@best_ask1" advise="1">
        <values>
          <value>
            <val>266.66000000000003</val>
          </value>
        </values>
      </ddeItem>
      <ddeItem name="NQ.EQNQ.72894@best_bid1" advise="1">
        <values>
          <value>
            <val>265.12</val>
          </value>
        </values>
      </ddeItem>
      <ddeItem name="NQ.EQNQ.72894@best_bsiz1" advise="1">
        <values>
          <value>
            <val>100</val>
          </value>
        </values>
      </ddeItem>
      <ddeItem name="NQ.EQNQ.72894@exchange_name" advise="1">
        <values>
          <value t="str">
            <val>NASDAQ</val>
          </value>
        </values>
      </ddeItem>
      <ddeItem name="NQ.EQNQ.72894@instrument_name" advise="1">
        <values>
          <value t="str">
            <val>BIOGEN IDEC</val>
          </value>
        </values>
      </ddeItem>
      <ddeItem name="NQ.EQNQ.72894@last_price" advise="1">
        <values>
          <value>
            <val>265.08999999999997</val>
          </value>
        </values>
      </ddeItem>
      <ddeItem name="NQ.EQNQ.72894@lst_prctck" advise="1">
        <values>
          <value t="str">
            <val>- + - + -</val>
          </value>
        </values>
      </ddeItem>
      <ddeItem name="NQ.EQNQ.72894@percentage_change" advise="1">
        <values>
          <value>
            <val>-0.86</val>
          </value>
        </values>
      </ddeItem>
      <ddeItem name="NQ.EQNQ.72894@prc_ql_cd" advise="1">
        <values>
          <value t="str">
            <val>CONT</val>
          </value>
        </values>
      </ddeItem>
      <ddeItem name="NQ.EQNQ.72894@symbol" advise="1">
        <values>
          <value t="str">
            <val>BIIB</val>
          </value>
        </values>
      </ddeItem>
      <ddeItem name="NQ.EQNQ.72894@trade_count" advise="1">
        <values>
          <value t="nil">
            <val>1</val>
          </value>
        </values>
      </ddeItem>
      <ddeItem name="NQ.EQNQ.72894@trade_time" advise="1">
        <values>
          <value t="str">
            <val>22.00.00</val>
          </value>
        </values>
      </ddeItem>
      <ddeItem name="NQ.EQNQ.72894@trade_volume_bi" advise="1">
        <values>
          <value>
            <val>1060894</val>
          </value>
        </values>
      </ddeItem>
      <ddeItem name="NQ.EQNQ.793852@best_asiz1" advise="1">
        <values>
          <value>
            <val>400</val>
          </value>
        </values>
      </ddeItem>
      <ddeItem name="NQ.EQNQ.793852@best_ask1" advise="1">
        <values>
          <value>
            <val>125.95</val>
          </value>
        </values>
      </ddeItem>
      <ddeItem name="NQ.EQNQ.793852@best_bid1" advise="1">
        <values>
          <value>
            <val>125.6</val>
          </value>
        </values>
      </ddeItem>
      <ddeItem name="NQ.EQNQ.793852@best_bsiz1" advise="1">
        <values>
          <value>
            <val>100</val>
          </value>
        </values>
      </ddeItem>
      <ddeItem name="NQ.EQNQ.793852@exchange_name" advise="1">
        <values>
          <value t="str">
            <val>NASDAQ</val>
          </value>
        </values>
      </ddeItem>
      <ddeItem name="NQ.EQNQ.793852@instrument_name" advise="1">
        <values>
          <value t="str">
            <val>T-MOBILE US-ORD SHS</val>
          </value>
        </values>
      </ddeItem>
      <ddeItem name="NQ.EQNQ.793852@last_price" advise="1">
        <values>
          <value>
            <val>125.28</val>
          </value>
        </values>
      </ddeItem>
      <ddeItem name="NQ.EQNQ.793852@lst_prctck" advise="1">
        <values>
          <value t="str">
            <val>+ + + - +</val>
          </value>
        </values>
      </ddeItem>
      <ddeItem name="NQ.EQNQ.793852@percentage_change" advise="1">
        <values>
          <value>
            <val>-4.07</val>
          </value>
        </values>
      </ddeItem>
      <ddeItem name="NQ.EQNQ.793852@prc_ql_cd" advise="1">
        <values>
          <value t="str">
            <val>CONT</val>
          </value>
        </values>
      </ddeItem>
      <ddeItem name="NQ.EQNQ.793852@symbol" advise="1">
        <values>
          <value t="str">
            <val>TMUS</val>
          </value>
        </values>
      </ddeItem>
      <ddeItem name="NQ.EQNQ.793852@trade_count" advise="1">
        <values>
          <value t="nil">
            <val>1</val>
          </value>
        </values>
      </ddeItem>
      <ddeItem name="NQ.EQNQ.793852@trade_time" advise="1">
        <values>
          <value t="str">
            <val>22.00.00</val>
          </value>
        </values>
      </ddeItem>
      <ddeItem name="NQ.EQNQ.793852@trade_volume_bi" advise="1">
        <values>
          <value>
            <val>10305241</val>
          </value>
        </values>
      </ddeItem>
      <ddeItem name="NQ.EQNQ.8049@best_asiz1" advise="1">
        <values>
          <value>
            <val>100</val>
          </value>
        </values>
      </ddeItem>
      <ddeItem name="NQ.EQNQ.8049@best_ask1" advise="1">
        <values>
          <value>
            <val>89.22</val>
          </value>
        </values>
      </ddeItem>
      <ddeItem name="NQ.EQNQ.8049@best_bid1" advise="1">
        <values>
          <value>
            <val>88.4</val>
          </value>
        </values>
      </ddeItem>
      <ddeItem name="NQ.EQNQ.8049@best_bsiz1" advise="1">
        <values>
          <value>
            <val>200</val>
          </value>
        </values>
      </ddeItem>
      <ddeItem name="NQ.EQNQ.8049@exchange_name" advise="1">
        <values>
          <value t="str">
            <val>NASDAQ</val>
          </value>
        </values>
      </ddeItem>
      <ddeItem name="NQ.EQNQ.8049@instrument_name" advise="1">
        <values>
          <value t="str">
            <val>CSX CORPORATION</val>
          </value>
        </values>
      </ddeItem>
      <ddeItem name="NQ.EQNQ.8049@last_price" advise="1">
        <values>
          <value>
            <val>88.55</val>
          </value>
        </values>
      </ddeItem>
      <ddeItem name="NQ.EQNQ.8049@lst_prctck" advise="1">
        <values>
          <value t="str">
            <val>- - + + -</val>
          </value>
        </values>
      </ddeItem>
      <ddeItem name="NQ.EQNQ.8049@percentage_change" advise="1">
        <values>
          <value>
            <val>0.15</val>
          </value>
        </values>
      </ddeItem>
      <ddeItem name="NQ.EQNQ.8049@prc_ql_cd" advise="1">
        <values>
          <value t="str">
            <val>CONT</val>
          </value>
        </values>
      </ddeItem>
      <ddeItem name="NQ.EQNQ.8049@symbol" advise="1">
        <values>
          <value t="str">
            <val>CSX</val>
          </value>
        </values>
      </ddeItem>
      <ddeItem name="NQ.EQNQ.8049@trade_count" advise="1">
        <values>
          <value t="nil">
            <val>1</val>
          </value>
        </values>
      </ddeItem>
      <ddeItem name="NQ.EQNQ.8049@trade_time" advise="1">
        <values>
          <value t="str">
            <val>22.00.00</val>
          </value>
        </values>
      </ddeItem>
      <ddeItem name="NQ.EQNQ.8049@trade_volume_bi" advise="1">
        <values>
          <value>
            <val>3112582</val>
          </value>
        </values>
      </ddeItem>
      <ddeItem name="NQ.EQNQ.828@best_asiz1" advise="1">
        <values>
          <value>
            <val>100</val>
          </value>
        </values>
      </ddeItem>
      <ddeItem name="NQ.EQNQ.828@best_ask1" advise="1">
        <values>
          <value>
            <val>136.99</val>
          </value>
        </values>
      </ddeItem>
      <ddeItem name="NQ.EQNQ.828@best_bid1" advise="1">
        <values>
          <value>
            <val>135.02000000000001</val>
          </value>
        </values>
      </ddeItem>
      <ddeItem name="NQ.EQNQ.828@best_bsiz1" advise="1">
        <values>
          <value>
            <val>100</val>
          </value>
        </values>
      </ddeItem>
      <ddeItem name="NQ.EQNQ.828@exchange_name" advise="1">
        <values>
          <value t="str">
            <val>NASDAQ</val>
          </value>
        </values>
      </ddeItem>
      <ddeItem name="NQ.EQNQ.828@instrument_name" advise="1">
        <values>
          <value t="str">
            <val>XILINX INC.</val>
          </value>
        </values>
      </ddeItem>
      <ddeItem name="NQ.EQNQ.828@last_price" advise="1">
        <values>
          <value>
            <val>136.47999999999999</val>
          </value>
        </values>
      </ddeItem>
      <ddeItem name="NQ.EQNQ.828@lst_prctck" advise="1">
        <values>
          <value t="str">
            <val>+ + + - -</val>
          </value>
        </values>
      </ddeItem>
      <ddeItem name="NQ.EQNQ.828@percentage_change" advise="1">
        <values>
          <value>
            <val>0.15</val>
          </value>
        </values>
      </ddeItem>
      <ddeItem name="NQ.EQNQ.828@prc_ql_cd" advise="1">
        <values>
          <value t="str">
            <val>CONT</val>
          </value>
        </values>
      </ddeItem>
      <ddeItem name="NQ.EQNQ.828@symbol" advise="1">
        <values>
          <value t="str">
            <val>XLNX</val>
          </value>
        </values>
      </ddeItem>
      <ddeItem name="NQ.EQNQ.828@trade_count" advise="1">
        <values>
          <value t="nil">
            <val>1</val>
          </value>
        </values>
      </ddeItem>
      <ddeItem name="NQ.EQNQ.828@trade_time" advise="1">
        <values>
          <value t="str">
            <val>22.00.00</val>
          </value>
        </values>
      </ddeItem>
      <ddeItem name="NQ.EQNQ.828@trade_volume_bi" advise="1">
        <values>
          <value>
            <val>1915067</val>
          </value>
        </values>
      </ddeItem>
      <ddeItem name="NQ.EQNQ.829875@best_asiz1" advise="1">
        <values>
          <value>
            <val>6100</val>
          </value>
        </values>
      </ddeItem>
      <ddeItem name="NQ.EQNQ.829875@best_ask1" advise="1">
        <values>
          <value>
            <val>6.11</val>
          </value>
        </values>
      </ddeItem>
      <ddeItem name="NQ.EQNQ.829875@best_bid1" advise="1">
        <values>
          <value>
            <val>6.09</val>
          </value>
        </values>
      </ddeItem>
      <ddeItem name="NQ.EQNQ.829875@best_bsiz1" advise="1">
        <values>
          <value>
            <val>20000</val>
          </value>
        </values>
      </ddeItem>
      <ddeItem name="NQ.EQNQ.829875@exchange_name" advise="1">
        <values>
          <value t="str">
            <val>NASDAQ</val>
          </value>
        </values>
      </ddeItem>
      <ddeItem name="NQ.EQNQ.829875@instrument_name" advise="1">
        <values>
          <value t="str">
            <val>SIRIUS XM HLDGS-ORD SHS</val>
          </value>
        </values>
      </ddeItem>
      <ddeItem name="NQ.EQNQ.829875@last_price" advise="1">
        <values>
          <value>
            <val>6.1050000000000004</val>
          </value>
        </values>
      </ddeItem>
      <ddeItem name="NQ.EQNQ.829875@lst_prctck" advise="1">
        <values>
          <value t="str">
            <val>- - - + +</val>
          </value>
        </values>
      </ddeItem>
      <ddeItem name="NQ.EQNQ.829875@percentage_change" advise="1">
        <values>
          <value>
            <val>-0.25</val>
          </value>
        </values>
      </ddeItem>
      <ddeItem name="NQ.EQNQ.829875@prc_ql_cd" advise="1">
        <values>
          <value t="str">
            <val>CONT</val>
          </value>
        </values>
      </ddeItem>
      <ddeItem name="NQ.EQNQ.829875@symbol" advise="1">
        <values>
          <value t="str">
            <val>SIRI</val>
          </value>
        </values>
      </ddeItem>
      <ddeItem name="NQ.EQNQ.829875@trade_count" advise="1">
        <values>
          <value t="nil">
            <val>1</val>
          </value>
        </values>
      </ddeItem>
      <ddeItem name="NQ.EQNQ.829875@trade_time" advise="1">
        <values>
          <value t="str">
            <val>22.00.00</val>
          </value>
        </values>
      </ddeItem>
      <ddeItem name="NQ.EQNQ.829875@trade_volume_bi" advise="1">
        <values>
          <value>
            <val>29469495</val>
          </value>
        </values>
      </ddeItem>
      <ddeItem name="NQ.EQNQ.868549@best_asiz1" advise="1">
        <values>
          <value>
            <val>300</val>
          </value>
        </values>
      </ddeItem>
      <ddeItem name="NQ.EQNQ.868549@best_ask1" advise="1">
        <values>
          <value>
            <val>96.55</val>
          </value>
        </values>
      </ddeItem>
      <ddeItem name="NQ.EQNQ.868549@best_bid1" advise="1">
        <values>
          <value>
            <val>96.25</val>
          </value>
        </values>
      </ddeItem>
      <ddeItem name="NQ.EQNQ.868549@best_bsiz1" advise="1">
        <values>
          <value>
            <val>100</val>
          </value>
        </values>
      </ddeItem>
      <ddeItem name="NQ.EQNQ.868549@exchange_name" advise="1">
        <values>
          <value t="str">
            <val>NASDAQ</val>
          </value>
        </values>
      </ddeItem>
      <ddeItem name="NQ.EQNQ.868549@instrument_name" advise="1">
        <values>
          <value t="str">
            <val>JD.COM-ADS ON ORD SHS</val>
          </value>
        </values>
      </ddeItem>
      <ddeItem name="NQ.EQNQ.868549@last_price" advise="1">
        <values>
          <value>
            <val>96.64</val>
          </value>
        </values>
      </ddeItem>
      <ddeItem name="NQ.EQNQ.868549@lst_prctck" advise="1">
        <values>
          <value t="str">
            <val>+ - - - -</val>
          </value>
        </values>
      </ddeItem>
      <ddeItem name="NQ.EQNQ.868549@percentage_change" advise="1">
        <values>
          <value>
            <val>2.12</val>
          </value>
        </values>
      </ddeItem>
      <ddeItem name="NQ.EQNQ.868549@prc_ql_cd" advise="1">
        <values>
          <value t="str">
            <val>CONT</val>
          </value>
        </values>
      </ddeItem>
      <ddeItem name="NQ.EQNQ.868549@symbol" advise="1">
        <values>
          <value t="str">
            <val>JD</val>
          </value>
        </values>
      </ddeItem>
      <ddeItem name="NQ.EQNQ.868549@trade_count" advise="1">
        <values>
          <value t="nil">
            <val>1</val>
          </value>
        </values>
      </ddeItem>
      <ddeItem name="NQ.EQNQ.868549@trade_time" advise="1">
        <values>
          <value t="str">
            <val>22.00.00</val>
          </value>
        </values>
      </ddeItem>
      <ddeItem name="NQ.EQNQ.868549@trade_volume_bi" advise="1">
        <values>
          <value>
            <val>5803867</val>
          </value>
        </values>
      </ddeItem>
      <ddeItem name="NQ.EQNQ.881@best_asiz1" advise="1">
        <values>
          <value>
            <val>700</val>
          </value>
        </values>
      </ddeItem>
      <ddeItem name="NQ.EQNQ.881@best_ask1" advise="1">
        <values>
          <value>
            <val>145.97999999999999</val>
          </value>
        </values>
      </ddeItem>
      <ddeItem name="NQ.EQNQ.881@best_bid1" advise="1">
        <values>
          <value>
            <val>145.82</val>
          </value>
        </values>
      </ddeItem>
      <ddeItem name="NQ.EQNQ.881@best_bsiz1" advise="1">
        <values>
          <value>
            <val>100</val>
          </value>
        </values>
      </ddeItem>
      <ddeItem name="NQ.EQNQ.881@exchange_name" advise="1">
        <values>
          <value t="str">
            <val>NASDAQ</val>
          </value>
        </values>
      </ddeItem>
      <ddeItem name="NQ.EQNQ.881@instrument_name" advise="1">
        <values>
          <value t="str">
            <val>QUALCOMM INC.</val>
          </value>
        </values>
      </ddeItem>
      <ddeItem name="NQ.EQNQ.881@last_price" advise="1">
        <values>
          <value>
            <val>145.84</val>
          </value>
        </values>
      </ddeItem>
      <ddeItem name="NQ.EQNQ.881@lst_prctck" advise="1">
        <values>
          <value t="str">
            <val>+ - - - -</val>
          </value>
        </values>
      </ddeItem>
      <ddeItem name="NQ.EQNQ.881@percentage_change" advise="1">
        <values>
          <value>
            <val>-1.44</val>
          </value>
        </values>
      </ddeItem>
      <ddeItem name="NQ.EQNQ.881@prc_ql_cd" advise="1">
        <values>
          <value t="str">
            <val>CONT</val>
          </value>
        </values>
      </ddeItem>
      <ddeItem name="NQ.EQNQ.881@symbol" advise="1">
        <values>
          <value t="str">
            <val>QCOM</val>
          </value>
        </values>
      </ddeItem>
      <ddeItem name="NQ.EQNQ.881@trade_count" advise="1">
        <values>
          <value t="nil">
            <val>1</val>
          </value>
        </values>
      </ddeItem>
      <ddeItem name="NQ.EQNQ.881@trade_time" advise="1">
        <values>
          <value t="str">
            <val>22.00.00</val>
          </value>
        </values>
      </ddeItem>
      <ddeItem name="NQ.EQNQ.881@trade_volume_bi" advise="1">
        <values>
          <value>
            <val>24626190</val>
          </value>
        </values>
      </ddeItem>
      <ddeItem name="NQ.EQNQ.9160@best_asiz1" advise="1">
        <values>
          <value>
            <val>100</val>
          </value>
        </values>
      </ddeItem>
      <ddeItem name="NQ.EQNQ.9160@best_ask1" advise="1">
        <values>
          <value>
            <val>129.5</val>
          </value>
        </values>
      </ddeItem>
      <ddeItem name="NQ.EQNQ.9160@best_bid1" advise="1">
        <values>
          <value>
            <val>129.47999999999999</val>
          </value>
        </values>
      </ddeItem>
      <ddeItem name="NQ.EQNQ.9160@best_bsiz1" advise="1">
        <values>
          <value>
            <val>200</val>
          </value>
        </values>
      </ddeItem>
      <ddeItem name="NQ.EQNQ.9160@exchange_name" advise="1">
        <values>
          <value t="str">
            <val>NASDAQ</val>
          </value>
        </values>
      </ddeItem>
      <ddeItem name="NQ.EQNQ.9160@instrument_name" advise="1">
        <values>
          <value t="str">
            <val>MARRIOTT INTL-A</val>
          </value>
        </values>
      </ddeItem>
      <ddeItem name="NQ.EQNQ.9160@last_price" advise="1">
        <values>
          <value>
            <val>129.47999999999999</val>
          </value>
        </values>
      </ddeItem>
      <ddeItem name="NQ.EQNQ.9160@lst_prctck" advise="1">
        <values>
          <value t="str">
            <val>- - + - +</val>
          </value>
        </values>
      </ddeItem>
      <ddeItem name="NQ.EQNQ.9160@percentage_change" advise="1">
        <values>
          <value>
            <val>3.21</val>
          </value>
        </values>
      </ddeItem>
      <ddeItem name="NQ.EQNQ.9160@prc_ql_cd" advise="1">
        <values>
          <value t="str">
            <val>CONT</val>
          </value>
        </values>
      </ddeItem>
      <ddeItem name="NQ.EQNQ.9160@symbol" advise="1">
        <values>
          <value t="str">
            <val>MAR</val>
          </value>
        </values>
      </ddeItem>
      <ddeItem name="NQ.EQNQ.9160@trade_count" advise="1">
        <values>
          <value t="nil">
            <val>1</val>
          </value>
        </values>
      </ddeItem>
      <ddeItem name="NQ.EQNQ.9160@trade_time" advise="1">
        <values>
          <value t="str">
            <val>22.00.00</val>
          </value>
        </values>
      </ddeItem>
      <ddeItem name="NQ.EQNQ.9160@trade_volume_bi" advise="1">
        <values>
          <value>
            <val>2653786</val>
          </value>
        </values>
      </ddeItem>
      <ddeItem name="NQ.EQNQ.931@best_asiz1" advise="1">
        <values>
          <value>
            <val>100</val>
          </value>
        </values>
      </ddeItem>
      <ddeItem name="NQ.EQNQ.931@best_ask1" advise="1">
        <values>
          <value>
            <val>199.5</val>
          </value>
        </values>
      </ddeItem>
      <ddeItem name="NQ.EQNQ.931@best_bid1" advise="1">
        <values>
          <value>
            <val>194.9</val>
          </value>
        </values>
      </ddeItem>
      <ddeItem name="NQ.EQNQ.931@best_bsiz1" advise="1">
        <values>
          <value>
            <val>200</val>
          </value>
        </values>
      </ddeItem>
      <ddeItem name="NQ.EQNQ.931@exchange_name" advise="1">
        <values>
          <value t="str">
            <val>NASDAQ</val>
          </value>
        </values>
      </ddeItem>
      <ddeItem name="NQ.EQNQ.931@instrument_name" advise="1">
        <values>
          <value t="str">
            <val>VERISIGN INC.</val>
          </value>
        </values>
      </ddeItem>
      <ddeItem name="NQ.EQNQ.931@last_price" advise="1">
        <values>
          <value>
            <val>199.52</val>
          </value>
        </values>
      </ddeItem>
      <ddeItem name="NQ.EQNQ.931@lst_prctck" advise="1">
        <values>
          <value t="str">
            <val>- + - + +</val>
          </value>
        </values>
      </ddeItem>
      <ddeItem name="NQ.EQNQ.931@percentage_change" advise="1">
        <values>
          <value>
            <val>0.11</val>
          </value>
        </values>
      </ddeItem>
      <ddeItem name="NQ.EQNQ.931@prc_ql_cd" advise="1">
        <values>
          <value t="str">
            <val>CONT</val>
          </value>
        </values>
      </ddeItem>
      <ddeItem name="NQ.EQNQ.931@symbol" advise="1">
        <values>
          <value t="str">
            <val>VRSN</val>
          </value>
        </values>
      </ddeItem>
      <ddeItem name="NQ.EQNQ.931@trade_count" advise="1">
        <values>
          <value t="nil">
            <val>1</val>
          </value>
        </values>
      </ddeItem>
      <ddeItem name="NQ.EQNQ.931@trade_time" advise="1">
        <values>
          <value t="str">
            <val>22.00.01</val>
          </value>
        </values>
      </ddeItem>
      <ddeItem name="NQ.EQNQ.931@trade_volume_bi" advise="1">
        <values>
          <value>
            <val>491054</val>
          </value>
        </values>
      </ddeItem>
      <ddeItem name="NQ.EQNQ.932073@best_asiz1" advise="1">
        <values>
          <value>
            <val>100</val>
          </value>
        </values>
      </ddeItem>
      <ddeItem name="NQ.EQNQ.932073@best_ask1" advise="1">
        <values>
          <value>
            <val>49.85</val>
          </value>
        </values>
      </ddeItem>
      <ddeItem name="NQ.EQNQ.932073@best_bid1" advise="1">
        <values>
          <value>
            <val>49.8</val>
          </value>
        </values>
      </ddeItem>
      <ddeItem name="NQ.EQNQ.932073@best_bsiz1" advise="1">
        <values>
          <value>
            <val>200</val>
          </value>
        </values>
      </ddeItem>
      <ddeItem name="NQ.EQNQ.932073@exchange_name" advise="1">
        <values>
          <value t="str">
            <val>NASDAQ</val>
          </value>
        </values>
      </ddeItem>
      <ddeItem name="NQ.EQNQ.932073@instrument_name" advise="1">
        <values>
          <value t="str">
            <val>WALGREENS BOOTS ALLIANCE-ORD SHS</val>
          </value>
        </values>
      </ddeItem>
      <ddeItem name="NQ.EQNQ.932073@last_price" advise="1">
        <values>
          <value>
            <val>49.81</val>
          </value>
        </values>
      </ddeItem>
      <ddeItem name="NQ.EQNQ.932073@lst_prctck" advise="1">
        <values>
          <value t="str">
            <val>- + - - -</val>
          </value>
        </values>
      </ddeItem>
      <ddeItem name="NQ.EQNQ.932073@percentage_change" advise="1">
        <values>
          <value>
            <val>1.1000000000000001</val>
          </value>
        </values>
      </ddeItem>
      <ddeItem name="NQ.EQNQ.932073@prc_ql_cd" advise="1">
        <values>
          <value t="str">
            <val>CONT</val>
          </value>
        </values>
      </ddeItem>
      <ddeItem name="NQ.EQNQ.932073@symbol" advise="1">
        <values>
          <value t="str">
            <val>WBA</val>
          </value>
        </values>
      </ddeItem>
      <ddeItem name="NQ.EQNQ.932073@trade_count" advise="1">
        <values>
          <value t="nil">
            <val>1</val>
          </value>
        </values>
      </ddeItem>
      <ddeItem name="NQ.EQNQ.932073@trade_time" advise="1">
        <values>
          <value t="str">
            <val>22.00.00</val>
          </value>
        </values>
      </ddeItem>
      <ddeItem name="NQ.EQNQ.932073@trade_volume_bi" advise="1">
        <values>
          <value>
            <val>4281303</val>
          </value>
        </values>
      </ddeItem>
      <ddeItem name="NQ.EQNQ.947@best_asiz1" advise="1">
        <values>
          <value>
            <val>100</val>
          </value>
        </values>
      </ddeItem>
      <ddeItem name="NQ.EQNQ.947@best_ask1" advise="1">
        <values>
          <value>
            <val>3350</val>
          </value>
        </values>
      </ddeItem>
      <ddeItem name="NQ.EQNQ.947@best_bid1" advise="1">
        <values>
          <value>
            <val>3349.25</val>
          </value>
        </values>
      </ddeItem>
      <ddeItem name="NQ.EQNQ.947@best_bsiz1" advise="1">
        <values>
          <value>
            <val>200</val>
          </value>
        </values>
      </ddeItem>
      <ddeItem name="NQ.EQNQ.947@exchange_name" advise="1">
        <values>
          <value t="str">
            <val>NASDAQ</val>
          </value>
        </values>
      </ddeItem>
      <ddeItem name="NQ.EQNQ.947@instrument_name" advise="1">
        <values>
          <value t="str">
            <val>AMAZON.COM INC.</val>
          </value>
        </values>
      </ddeItem>
      <ddeItem name="NQ.EQNQ.947@last_price" advise="1">
        <values>
          <value>
            <val>3352.15</val>
          </value>
        </values>
      </ddeItem>
      <ddeItem name="NQ.EQNQ.947@lst_prctck" advise="1">
        <values>
          <value t="str">
            <val>- + + + +</val>
          </value>
        </values>
      </ddeItem>
      <ddeItem name="NQ.EQNQ.947@percentage_change" advise="1">
        <values>
          <value>
            <val>0.63</val>
          </value>
        </values>
      </ddeItem>
      <ddeItem name="NQ.EQNQ.947@prc_ql_cd" advise="1">
        <values>
          <value t="str">
            <val>CONT</val>
          </value>
        </values>
      </ddeItem>
      <ddeItem name="NQ.EQNQ.947@symbol" advise="1">
        <values>
          <value t="str">
            <val>AMZN</val>
          </value>
        </values>
      </ddeItem>
      <ddeItem name="NQ.EQNQ.947@trade_count" advise="1">
        <values>
          <value t="nil">
            <val>1</val>
          </value>
        </values>
      </ddeItem>
      <ddeItem name="NQ.EQNQ.947@trade_time" advise="1">
        <values>
          <value t="str">
            <val>22.00.01</val>
          </value>
        </values>
      </ddeItem>
      <ddeItem name="NQ.EQNQ.947@trade_volume_bi" advise="1">
        <values>
          <value>
            <val>3594128</val>
          </value>
        </values>
      </ddeItem>
      <ddeItem name="NQ.EQNQ.971084@best_asiz1" advise="1">
        <values>
          <value>
            <val>300</val>
          </value>
        </values>
      </ddeItem>
      <ddeItem name="NQ.EQNQ.971084@best_ask1" advise="1">
        <values>
          <value>
            <val>91.76</val>
          </value>
        </values>
      </ddeItem>
      <ddeItem name="NQ.EQNQ.971084@best_bid1" advise="1">
        <values>
          <value>
            <val>89.43</val>
          </value>
        </values>
      </ddeItem>
      <ddeItem name="NQ.EQNQ.971084@best_bsiz1" advise="1">
        <values>
          <value>
            <val>300</val>
          </value>
        </values>
      </ddeItem>
      <ddeItem name="NQ.EQNQ.971084@exchange_name" advise="1">
        <values>
          <value t="str">
            <val>NASDAQ</val>
          </value>
        </values>
      </ddeItem>
      <ddeItem name="NQ.EQNQ.971084@instrument_name" advise="1">
        <values>
          <value t="str">
            <val>MONSTER BEVERAGE SHS</val>
          </value>
        </values>
      </ddeItem>
      <ddeItem name="NQ.EQNQ.971084@last_price" advise="1">
        <values>
          <value>
            <val>91.1</val>
          </value>
        </values>
      </ddeItem>
      <ddeItem name="NQ.EQNQ.971084@lst_prctck" advise="1">
        <values>
          <value t="str">
            <val>- + + - -</val>
          </value>
        </values>
      </ddeItem>
      <ddeItem name="NQ.EQNQ.971084@percentage_change" advise="1">
        <values>
          <value>
            <val>-0.4</val>
          </value>
        </values>
      </ddeItem>
      <ddeItem name="NQ.EQNQ.971084@prc_ql_cd" advise="1">
        <values>
          <value t="str">
            <val>CONT</val>
          </value>
        </values>
      </ddeItem>
      <ddeItem name="NQ.EQNQ.971084@symbol" advise="1">
        <values>
          <value t="str">
            <val>MNST</val>
          </value>
        </values>
      </ddeItem>
      <ddeItem name="NQ.EQNQ.971084@trade_count" advise="1">
        <values>
          <value t="nil">
            <val>1</val>
          </value>
        </values>
      </ddeItem>
      <ddeItem name="NQ.EQNQ.971084@trade_time" advise="1">
        <values>
          <value t="str">
            <val>22.00.00</val>
          </value>
        </values>
      </ddeItem>
      <ddeItem name="NQ.EQNQ.971084@trade_volume_bi" advise="1">
        <values>
          <value>
            <val>1722452</val>
          </value>
        </values>
      </ddeItem>
      <ddeItem name="NQ.EQNQ.975397@best_asiz1" advise="1">
        <values>
          <value>
            <val>200</val>
          </value>
        </values>
      </ddeItem>
      <ddeItem name="NQ.EQNQ.975397@best_ask1" advise="1">
        <values>
          <value>
            <val>33.96</val>
          </value>
        </values>
      </ddeItem>
      <ddeItem name="NQ.EQNQ.975397@best_bid1" advise="1">
        <values>
          <value>
            <val>33.83</val>
          </value>
        </values>
      </ddeItem>
      <ddeItem name="NQ.EQNQ.975397@best_bsiz1" advise="1">
        <values>
          <value>
            <val>300</val>
          </value>
        </values>
      </ddeItem>
      <ddeItem name="NQ.EQNQ.975397@exchange_name" advise="1">
        <values>
          <value t="str">
            <val>NASDAQ</val>
          </value>
        </values>
      </ddeItem>
      <ddeItem name="NQ.EQNQ.975397@instrument_name" advise="1">
        <values>
          <value t="str">
            <val>THE KRAFT HEINZ SHS</val>
          </value>
        </values>
      </ddeItem>
      <ddeItem name="NQ.EQNQ.975397@last_price" advise="1">
        <values>
          <value>
            <val>33.799999999999997</val>
          </value>
        </values>
      </ddeItem>
      <ddeItem name="NQ.EQNQ.975397@lst_prctck" advise="1">
        <values>
          <value t="str">
            <val>- - + + -</val>
          </value>
        </values>
      </ddeItem>
      <ddeItem name="NQ.EQNQ.975397@percentage_change" advise="1">
        <values>
          <value>
            <val>2.67</val>
          </value>
        </values>
      </ddeItem>
      <ddeItem name="NQ.EQNQ.975397@prc_ql_cd" advise="1">
        <values>
          <value t="str">
            <val>CONT</val>
          </value>
        </values>
      </ddeItem>
      <ddeItem name="NQ.EQNQ.975397@symbol" advise="1">
        <values>
          <value t="str">
            <val>KHC</val>
          </value>
        </values>
      </ddeItem>
      <ddeItem name="NQ.EQNQ.975397@trade_count" advise="1">
        <values>
          <value t="nil">
            <val>1</val>
          </value>
        </values>
      </ddeItem>
      <ddeItem name="NQ.EQNQ.975397@trade_time" advise="1">
        <values>
          <value t="str">
            <val>22.00.00</val>
          </value>
        </values>
      </ddeItem>
      <ddeItem name="NQ.EQNQ.975397@trade_volume_bi" advise="1">
        <values>
          <value>
            <val>7829401</val>
          </value>
        </values>
      </ddeItem>
      <ddeItem name="NQ.EQNQ.97811@best_asiz1" advise="1">
        <values>
          <value>
            <val>100</val>
          </value>
        </values>
      </ddeItem>
      <ddeItem name="NQ.EQNQ.97811@best_ask1" advise="1">
        <values>
          <value>
            <val>413</val>
          </value>
        </values>
      </ddeItem>
      <ddeItem name="NQ.EQNQ.97811@best_bid1" advise="1">
        <values>
          <value>
            <val>395.01</val>
          </value>
        </values>
      </ddeItem>
      <ddeItem name="NQ.EQNQ.97811@best_bsiz1" advise="1">
        <values>
          <value>
            <val>100</val>
          </value>
        </values>
      </ddeItem>
      <ddeItem name="NQ.EQNQ.97811@exchange_name" advise="1">
        <values>
          <value t="str">
            <val>NASDAQ</val>
          </value>
        </values>
      </ddeItem>
      <ddeItem name="NQ.EQNQ.97811@instrument_name" advise="1">
        <values>
          <value t="str">
            <val>DEXCOM</val>
          </value>
        </values>
      </ddeItem>
      <ddeItem name="NQ.EQNQ.97811@last_price" advise="1">
        <values>
          <value>
            <val>411.03</val>
          </value>
        </values>
      </ddeItem>
      <ddeItem name="NQ.EQNQ.97811@lst_prctck" advise="1">
        <values>
          <value t="str">
            <val>- - - - +</val>
          </value>
        </values>
      </ddeItem>
      <ddeItem name="NQ.EQNQ.97811@percentage_change" advise="1">
        <values>
          <value>
            <val>1.93</val>
          </value>
        </values>
      </ddeItem>
      <ddeItem name="NQ.EQNQ.97811@prc_ql_cd" advise="1">
        <values>
          <value t="str">
            <val>CONT</val>
          </value>
        </values>
      </ddeItem>
      <ddeItem name="NQ.EQNQ.97811@symbol" advise="1">
        <values>
          <value t="str">
            <val>DXCM</val>
          </value>
        </values>
      </ddeItem>
      <ddeItem name="NQ.EQNQ.97811@trade_count" advise="1">
        <values>
          <value t="nil">
            <val>1</val>
          </value>
        </values>
      </ddeItem>
      <ddeItem name="NQ.EQNQ.97811@trade_time" advise="1">
        <values>
          <value t="str">
            <val>22.00.00</val>
          </value>
        </values>
      </ddeItem>
      <ddeItem name="NQ.EQNQ.97811@trade_volume_bi" advise="1">
        <values>
          <value>
            <val>558598</val>
          </value>
        </values>
      </ddeItem>
      <ddeItem name="NQ.EQNQ.979483@best_asiz1" advise="1">
        <values>
          <value>
            <val>1000</val>
          </value>
        </values>
      </ddeItem>
      <ddeItem name="NQ.EQNQ.979483@best_ask1" advise="1">
        <values>
          <value>
            <val>269.8</val>
          </value>
        </values>
      </ddeItem>
      <ddeItem name="NQ.EQNQ.979483@best_bid1" advise="1">
        <values>
          <value>
            <val>269.75</val>
          </value>
        </values>
      </ddeItem>
      <ddeItem name="NQ.EQNQ.979483@best_bsiz1" advise="1">
        <values>
          <value>
            <val>100</val>
          </value>
        </values>
      </ddeItem>
      <ddeItem name="NQ.EQNQ.979483@exchange_name" advise="1">
        <values>
          <value t="str">
            <val>NASDAQ</val>
          </value>
        </values>
      </ddeItem>
      <ddeItem name="NQ.EQNQ.979483@instrument_name" advise="1">
        <values>
          <value t="str">
            <val>PAYPAL HOLDINGS-WI SHS WHEN ISSUED</val>
          </value>
        </values>
      </ddeItem>
      <ddeItem name="NQ.EQNQ.979483@last_price" advise="1">
        <values>
          <value>
            <val>269.44</val>
          </value>
        </values>
      </ddeItem>
      <ddeItem name="NQ.EQNQ.979483@lst_prctck" advise="1">
        <values>
          <value t="str">
            <val>- - - - -</val>
          </value>
        </values>
      </ddeItem>
      <ddeItem name="NQ.EQNQ.979483@percentage_change" advise="1">
        <values>
          <value>
            <val>-0.37</val>
          </value>
        </values>
      </ddeItem>
      <ddeItem name="NQ.EQNQ.979483@prc_ql_cd" advise="1">
        <values>
          <value t="str">
            <val>CONT</val>
          </value>
        </values>
      </ddeItem>
      <ddeItem name="NQ.EQNQ.979483@symbol" advise="1">
        <values>
          <value t="str">
            <val>PYPL</val>
          </value>
        </values>
      </ddeItem>
      <ddeItem name="NQ.EQNQ.979483@trade_count" advise="1">
        <values>
          <value t="nil">
            <val>1</val>
          </value>
        </values>
      </ddeItem>
      <ddeItem name="NQ.EQNQ.979483@trade_time" advise="1">
        <values>
          <value t="str">
            <val>22.00.00</val>
          </value>
        </values>
      </ddeItem>
      <ddeItem name="NQ.EQNQ.979483@trade_volume_bi" advise="1">
        <values>
          <value>
            <val>7776602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N104"/>
  <sheetViews>
    <sheetView workbookViewId="0">
      <selection activeCell="J89" sqref="J89:J140"/>
    </sheetView>
  </sheetViews>
  <sheetFormatPr defaultRowHeight="14.4" x14ac:dyDescent="0.3"/>
  <cols>
    <col min="2" max="2" width="14.5546875" customWidth="1"/>
  </cols>
  <sheetData>
    <row r="1" spans="1:14" x14ac:dyDescent="0.3">
      <c r="A1" t="s">
        <v>0</v>
      </c>
    </row>
    <row r="2" spans="1:14" x14ac:dyDescent="0.3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</row>
    <row r="3" spans="1:14" x14ac:dyDescent="0.3">
      <c r="A3" t="str">
        <f>[1]!'NQ.EQNQ.191986@symbol'</f>
        <v>ATVI</v>
      </c>
      <c r="B3" t="str">
        <f>[1]!'NQ.EQNQ.191986@instrument_name'</f>
        <v>ACTIVISION BLIZZARD-ORD SHS USD</v>
      </c>
      <c r="C3" t="str">
        <f>[1]!'NQ.EQNQ.191986@exchange_name'</f>
        <v>NASDAQ</v>
      </c>
      <c r="D3">
        <f>[1]!'NQ.EQNQ.191986@last_price'</f>
        <v>101.61</v>
      </c>
      <c r="E3">
        <f>[1]!'NQ.EQNQ.191986@percentage_change'</f>
        <v>9.64</v>
      </c>
      <c r="F3">
        <f>[1]!'NQ.EQNQ.191986@best_bsiz1'</f>
        <v>300</v>
      </c>
      <c r="G3">
        <f>[1]!'NQ.EQNQ.191986@best_bid1'</f>
        <v>101.6</v>
      </c>
      <c r="H3">
        <f>[1]!'NQ.EQNQ.191986@best_ask1'</f>
        <v>102.29</v>
      </c>
      <c r="I3">
        <f>[1]!'NQ.EQNQ.191986@best_asiz1'</f>
        <v>100</v>
      </c>
      <c r="J3" t="str">
        <f>[1]!'NQ.EQNQ.191986@lst_prctck'</f>
        <v>+ + - + -</v>
      </c>
      <c r="K3">
        <f>[1]!'NQ.EQNQ.191986@trade_volume_bi'</f>
        <v>16869170</v>
      </c>
      <c r="L3">
        <f>[1]!'NQ.EQNQ.191986@trade_count'</f>
        <v>0</v>
      </c>
      <c r="M3" t="str">
        <f>[1]!'NQ.EQNQ.191986@prc_ql_cd'</f>
        <v>CONT</v>
      </c>
      <c r="N3" t="str">
        <f>[1]!'NQ.EQNQ.191986@trade_time'</f>
        <v>22.00.00</v>
      </c>
    </row>
    <row r="4" spans="1:14" x14ac:dyDescent="0.3">
      <c r="A4" t="str">
        <f>[1]!'NQ.EQNQ.708@symbol'</f>
        <v>ADBE</v>
      </c>
      <c r="B4" t="str">
        <f>[1]!'NQ.EQNQ.708@instrument_name'</f>
        <v>ADOBE SYSTEMS INC</v>
      </c>
      <c r="C4" t="str">
        <f>[1]!'NQ.EQNQ.708@exchange_name'</f>
        <v>NASDAQ</v>
      </c>
      <c r="D4">
        <f>[1]!'NQ.EQNQ.708@last_price'</f>
        <v>492.12</v>
      </c>
      <c r="E4">
        <f>[1]!'NQ.EQNQ.708@percentage_change'</f>
        <v>0.56000000000000005</v>
      </c>
      <c r="F4">
        <f>[1]!'NQ.EQNQ.708@best_bsiz1'</f>
        <v>200</v>
      </c>
      <c r="G4">
        <f>[1]!'NQ.EQNQ.708@best_bid1'</f>
        <v>491</v>
      </c>
      <c r="H4">
        <f>[1]!'NQ.EQNQ.708@best_ask1'</f>
        <v>492.42</v>
      </c>
      <c r="I4">
        <f>[1]!'NQ.EQNQ.708@best_asiz1'</f>
        <v>100</v>
      </c>
      <c r="J4" t="str">
        <f>[1]!'NQ.EQNQ.708@lst_prctck'</f>
        <v>+ + + + -</v>
      </c>
      <c r="K4">
        <f>[1]!'NQ.EQNQ.708@trade_volume_bi'</f>
        <v>1652869</v>
      </c>
      <c r="L4">
        <f>[1]!'NQ.EQNQ.708@trade_count'</f>
        <v>0</v>
      </c>
      <c r="M4" t="str">
        <f>[1]!'NQ.EQNQ.708@prc_ql_cd'</f>
        <v>CONT</v>
      </c>
      <c r="N4" t="str">
        <f>[1]!'NQ.EQNQ.708@trade_time'</f>
        <v>22.00.00</v>
      </c>
    </row>
    <row r="5" spans="1:14" x14ac:dyDescent="0.3">
      <c r="A5" t="str">
        <f>[1]!'NQ.EQNQ.142@symbol'</f>
        <v>AMD</v>
      </c>
      <c r="B5" t="str">
        <f>[1]!'NQ.EQNQ.142@instrument_name'</f>
        <v>ADVANCED MICRO DEVICES INC.</v>
      </c>
      <c r="C5" t="str">
        <f>[1]!'NQ.EQNQ.142@exchange_name'</f>
        <v>NASDAQ</v>
      </c>
      <c r="D5">
        <f>[1]!'NQ.EQNQ.142@last_price'</f>
        <v>87.9</v>
      </c>
      <c r="E5">
        <f>[1]!'NQ.EQNQ.142@percentage_change'</f>
        <v>7.0000000000000007E-2</v>
      </c>
      <c r="F5">
        <f>[1]!'NQ.EQNQ.142@best_bsiz1'</f>
        <v>400</v>
      </c>
      <c r="G5">
        <f>[1]!'NQ.EQNQ.142@best_bid1'</f>
        <v>87.87</v>
      </c>
      <c r="H5">
        <f>[1]!'NQ.EQNQ.142@best_ask1'</f>
        <v>87.9</v>
      </c>
      <c r="I5">
        <f>[1]!'NQ.EQNQ.142@best_asiz1'</f>
        <v>100</v>
      </c>
      <c r="J5" t="str">
        <f>[1]!'NQ.EQNQ.142@lst_prctck'</f>
        <v>+ - - - -</v>
      </c>
      <c r="K5">
        <f>[1]!'NQ.EQNQ.142@trade_volume_bi'</f>
        <v>29715017</v>
      </c>
      <c r="L5">
        <f>[1]!'NQ.EQNQ.142@trade_count'</f>
        <v>0</v>
      </c>
      <c r="M5" t="str">
        <f>[1]!'NQ.EQNQ.142@prc_ql_cd'</f>
        <v>CONT</v>
      </c>
      <c r="N5" t="str">
        <f>[1]!'NQ.EQNQ.142@trade_time'</f>
        <v>22.00.00</v>
      </c>
    </row>
    <row r="6" spans="1:14" x14ac:dyDescent="0.3">
      <c r="A6" t="str">
        <f>[1]!'NQ.EQNQ.6350@symbol'</f>
        <v>ALXN</v>
      </c>
      <c r="B6" t="str">
        <f>[1]!'NQ.EQNQ.6350@instrument_name'</f>
        <v>ALEXION PHARM</v>
      </c>
      <c r="C6" t="str">
        <f>[1]!'NQ.EQNQ.6350@exchange_name'</f>
        <v>NASDAQ</v>
      </c>
      <c r="D6">
        <f>[1]!'NQ.EQNQ.6350@last_price'</f>
        <v>153.91999999999999</v>
      </c>
      <c r="E6">
        <f>[1]!'NQ.EQNQ.6350@percentage_change'</f>
        <v>-1.07</v>
      </c>
      <c r="F6">
        <f>[1]!'NQ.EQNQ.6350@best_bsiz1'</f>
        <v>100</v>
      </c>
      <c r="G6">
        <f>[1]!'NQ.EQNQ.6350@best_bid1'</f>
        <v>150</v>
      </c>
      <c r="H6">
        <f>[1]!'NQ.EQNQ.6350@best_ask1'</f>
        <v>155.13</v>
      </c>
      <c r="I6">
        <f>[1]!'NQ.EQNQ.6350@best_asiz1'</f>
        <v>100</v>
      </c>
      <c r="J6" t="str">
        <f>[1]!'NQ.EQNQ.6350@lst_prctck'</f>
        <v>- - - + -</v>
      </c>
      <c r="K6">
        <f>[1]!'NQ.EQNQ.6350@trade_volume_bi'</f>
        <v>2210235</v>
      </c>
      <c r="L6">
        <f>[1]!'NQ.EQNQ.6350@trade_count'</f>
        <v>0</v>
      </c>
      <c r="M6" t="str">
        <f>[1]!'NQ.EQNQ.6350@prc_ql_cd'</f>
        <v>CONT</v>
      </c>
      <c r="N6" t="str">
        <f>[1]!'NQ.EQNQ.6350@trade_time'</f>
        <v>22.00.00</v>
      </c>
    </row>
    <row r="7" spans="1:14" x14ac:dyDescent="0.3">
      <c r="A7" t="str">
        <f>[1]!'NQ.EQNQ.25781@symbol'</f>
        <v>ALGN</v>
      </c>
      <c r="B7" t="str">
        <f>[1]!'NQ.EQNQ.25781@instrument_name'</f>
        <v>ALIGN TECHNOLOGY</v>
      </c>
      <c r="C7" t="str">
        <f>[1]!'NQ.EQNQ.25781@exchange_name'</f>
        <v>NASDAQ</v>
      </c>
      <c r="D7">
        <f>[1]!'NQ.EQNQ.25781@last_price'</f>
        <v>620.45000000000005</v>
      </c>
      <c r="E7">
        <f>[1]!'NQ.EQNQ.25781@percentage_change'</f>
        <v>0.86</v>
      </c>
      <c r="F7">
        <f>[1]!'NQ.EQNQ.25781@best_bsiz1'</f>
        <v>100</v>
      </c>
      <c r="G7">
        <f>[1]!'NQ.EQNQ.25781@best_bid1'</f>
        <v>618.42999999999995</v>
      </c>
      <c r="H7">
        <f>[1]!'NQ.EQNQ.25781@best_ask1'</f>
        <v>626</v>
      </c>
      <c r="I7">
        <f>[1]!'NQ.EQNQ.25781@best_asiz1'</f>
        <v>100</v>
      </c>
      <c r="J7" t="str">
        <f>[1]!'NQ.EQNQ.25781@lst_prctck'</f>
        <v>+ + - - +</v>
      </c>
      <c r="K7">
        <f>[1]!'NQ.EQNQ.25781@trade_volume_bi'</f>
        <v>654240</v>
      </c>
      <c r="L7">
        <f>[1]!'NQ.EQNQ.25781@trade_count'</f>
        <v>0</v>
      </c>
      <c r="M7" t="str">
        <f>[1]!'NQ.EQNQ.25781@prc_ql_cd'</f>
        <v>CONT</v>
      </c>
      <c r="N7" t="str">
        <f>[1]!'NQ.EQNQ.25781@trade_time'</f>
        <v>22.00.00</v>
      </c>
    </row>
    <row r="8" spans="1:14" x14ac:dyDescent="0.3">
      <c r="A8" t="str">
        <f>[1]!'NQ.EQNQ.1003305@symbol'</f>
        <v>GOOGL</v>
      </c>
      <c r="B8" t="str">
        <f>[1]!'NQ.EQNQ.1003305@instrument_name'</f>
        <v>ALPHABET-A SHS -A-</v>
      </c>
      <c r="C8" t="str">
        <f>[1]!'NQ.EQNQ.1003305@exchange_name'</f>
        <v>NASDAQ</v>
      </c>
      <c r="D8">
        <f>[1]!'NQ.EQNQ.1003305@last_price'</f>
        <v>2088.83</v>
      </c>
      <c r="E8">
        <f>[1]!'NQ.EQNQ.1003305@percentage_change'</f>
        <v>1.71</v>
      </c>
      <c r="F8">
        <f>[1]!'NQ.EQNQ.1003305@best_bsiz1'</f>
        <v>100</v>
      </c>
      <c r="G8">
        <f>[1]!'NQ.EQNQ.1003305@best_bid1'</f>
        <v>2089.4</v>
      </c>
      <c r="H8">
        <f>[1]!'NQ.EQNQ.1003305@best_ask1'</f>
        <v>2090.9699999999998</v>
      </c>
      <c r="I8">
        <f>[1]!'NQ.EQNQ.1003305@best_asiz1'</f>
        <v>100</v>
      </c>
      <c r="J8" t="str">
        <f>[1]!'NQ.EQNQ.1003305@lst_prctck'</f>
        <v>- - - - -</v>
      </c>
      <c r="K8">
        <f>[1]!'NQ.EQNQ.1003305@trade_volume_bi'</f>
        <v>1484958</v>
      </c>
      <c r="L8">
        <f>[1]!'NQ.EQNQ.1003305@trade_count'</f>
        <v>0</v>
      </c>
      <c r="M8" t="str">
        <f>[1]!'NQ.EQNQ.1003305@prc_ql_cd'</f>
        <v>CONT</v>
      </c>
      <c r="N8" t="str">
        <f>[1]!'NQ.EQNQ.1003305@trade_time'</f>
        <v>22.00.00</v>
      </c>
    </row>
    <row r="9" spans="1:14" x14ac:dyDescent="0.3">
      <c r="A9" t="str">
        <f>[1]!'NQ.EQNQ.1003303@symbol'</f>
        <v>GOOG</v>
      </c>
      <c r="B9" t="str">
        <f>[1]!'NQ.EQNQ.1003303@instrument_name'</f>
        <v>ALPHABET-C SHS -C-</v>
      </c>
      <c r="C9" t="str">
        <f>[1]!'NQ.EQNQ.1003303@exchange_name'</f>
        <v>NASDAQ</v>
      </c>
      <c r="D9">
        <f>[1]!'NQ.EQNQ.1003303@last_price'</f>
        <v>2098</v>
      </c>
      <c r="E9">
        <f>[1]!'NQ.EQNQ.1003303@percentage_change'</f>
        <v>1.73</v>
      </c>
      <c r="F9">
        <f>[1]!'NQ.EQNQ.1003303@best_bsiz1'</f>
        <v>100</v>
      </c>
      <c r="G9">
        <f>[1]!'NQ.EQNQ.1003303@best_bid1'</f>
        <v>2096.5100000000002</v>
      </c>
      <c r="H9">
        <f>[1]!'NQ.EQNQ.1003303@best_ask1'</f>
        <v>2099</v>
      </c>
      <c r="I9">
        <f>[1]!'NQ.EQNQ.1003303@best_asiz1'</f>
        <v>100</v>
      </c>
      <c r="J9" t="str">
        <f>[1]!'NQ.EQNQ.1003303@lst_prctck'</f>
        <v>- - - - -</v>
      </c>
      <c r="K9">
        <f>[1]!'NQ.EQNQ.1003303@trade_volume_bi'</f>
        <v>1522006</v>
      </c>
      <c r="L9">
        <f>[1]!'NQ.EQNQ.1003303@trade_count'</f>
        <v>0</v>
      </c>
      <c r="M9" t="str">
        <f>[1]!'NQ.EQNQ.1003303@prc_ql_cd'</f>
        <v>CONT</v>
      </c>
      <c r="N9" t="str">
        <f>[1]!'NQ.EQNQ.1003303@trade_time'</f>
        <v>22.00.00</v>
      </c>
    </row>
    <row r="10" spans="1:14" x14ac:dyDescent="0.3">
      <c r="A10" t="str">
        <f>[1]!'NQ.EQNQ.1827@symbol'</f>
        <v>AEP</v>
      </c>
      <c r="B10" t="str">
        <f>[1]!'NQ.EQNQ.1827@instrument_name'</f>
        <v>AM ELECTRIC</v>
      </c>
      <c r="C10" t="str">
        <f>[1]!'NQ.EQNQ.1827@exchange_name'</f>
        <v>NASDAQ</v>
      </c>
      <c r="D10">
        <f>[1]!'NQ.EQNQ.1827@last_price'</f>
        <v>82.19</v>
      </c>
      <c r="E10">
        <f>[1]!'NQ.EQNQ.1827@percentage_change'</f>
        <v>-0.02</v>
      </c>
      <c r="F10">
        <f>[1]!'NQ.EQNQ.1827@best_bsiz1'</f>
        <v>200</v>
      </c>
      <c r="G10">
        <f>[1]!'NQ.EQNQ.1827@best_bid1'</f>
        <v>82.1</v>
      </c>
      <c r="H10">
        <f>[1]!'NQ.EQNQ.1827@best_ask1'</f>
        <v>82.47</v>
      </c>
      <c r="I10">
        <f>[1]!'NQ.EQNQ.1827@best_asiz1'</f>
        <v>200</v>
      </c>
      <c r="J10" t="str">
        <f>[1]!'NQ.EQNQ.1827@lst_prctck'</f>
        <v>+ - - + +</v>
      </c>
      <c r="K10">
        <f>[1]!'NQ.EQNQ.1827@trade_volume_bi'</f>
        <v>1583922</v>
      </c>
      <c r="L10">
        <f>[1]!'NQ.EQNQ.1827@trade_count'</f>
        <v>0</v>
      </c>
      <c r="M10" t="str">
        <f>[1]!'NQ.EQNQ.1827@prc_ql_cd'</f>
        <v>CONT</v>
      </c>
      <c r="N10" t="str">
        <f>[1]!'NQ.EQNQ.1827@trade_time'</f>
        <v>22.00.00</v>
      </c>
    </row>
    <row r="11" spans="1:14" x14ac:dyDescent="0.3">
      <c r="A11" t="str">
        <f>[1]!'NQ.EQNQ.947@symbol'</f>
        <v>AMZN</v>
      </c>
      <c r="B11" t="str">
        <f>[1]!'NQ.EQNQ.947@instrument_name'</f>
        <v>AMAZON.COM INC.</v>
      </c>
      <c r="C11" t="str">
        <f>[1]!'NQ.EQNQ.947@exchange_name'</f>
        <v>NASDAQ</v>
      </c>
      <c r="D11">
        <f>[1]!'NQ.EQNQ.947@last_price'</f>
        <v>3352.15</v>
      </c>
      <c r="E11">
        <f>[1]!'NQ.EQNQ.947@percentage_change'</f>
        <v>0.63</v>
      </c>
      <c r="F11">
        <f>[1]!'NQ.EQNQ.947@best_bsiz1'</f>
        <v>200</v>
      </c>
      <c r="G11">
        <f>[1]!'NQ.EQNQ.947@best_bid1'</f>
        <v>3349.25</v>
      </c>
      <c r="H11">
        <f>[1]!'NQ.EQNQ.947@best_ask1'</f>
        <v>3350</v>
      </c>
      <c r="I11">
        <f>[1]!'NQ.EQNQ.947@best_asiz1'</f>
        <v>100</v>
      </c>
      <c r="J11" t="str">
        <f>[1]!'NQ.EQNQ.947@lst_prctck'</f>
        <v>- + + + +</v>
      </c>
      <c r="K11">
        <f>[1]!'NQ.EQNQ.947@trade_volume_bi'</f>
        <v>3594128</v>
      </c>
      <c r="L11">
        <f>[1]!'NQ.EQNQ.947@trade_count'</f>
        <v>0</v>
      </c>
      <c r="M11" t="str">
        <f>[1]!'NQ.EQNQ.947@prc_ql_cd'</f>
        <v>CONT</v>
      </c>
      <c r="N11" t="str">
        <f>[1]!'NQ.EQNQ.947@trade_time'</f>
        <v>22.00.01</v>
      </c>
    </row>
    <row r="12" spans="1:14" x14ac:dyDescent="0.3">
      <c r="A12" t="str">
        <f>[1]!'NQ.EQNQ.269@symbol'</f>
        <v>AMGN</v>
      </c>
      <c r="B12" t="str">
        <f>[1]!'NQ.EQNQ.269@instrument_name'</f>
        <v>AMGEN CORP</v>
      </c>
      <c r="C12" t="str">
        <f>[1]!'NQ.EQNQ.269@exchange_name'</f>
        <v>NASDAQ</v>
      </c>
      <c r="D12">
        <f>[1]!'NQ.EQNQ.269@last_price'</f>
        <v>236.32</v>
      </c>
      <c r="E12">
        <f>[1]!'NQ.EQNQ.269@percentage_change'</f>
        <v>-0.38</v>
      </c>
      <c r="F12">
        <f>[1]!'NQ.EQNQ.269@best_bsiz1'</f>
        <v>100</v>
      </c>
      <c r="G12">
        <f>[1]!'NQ.EQNQ.269@best_bid1'</f>
        <v>235.49</v>
      </c>
      <c r="H12">
        <f>[1]!'NQ.EQNQ.269@best_ask1'</f>
        <v>238</v>
      </c>
      <c r="I12">
        <f>[1]!'NQ.EQNQ.269@best_asiz1'</f>
        <v>500</v>
      </c>
      <c r="J12" t="str">
        <f>[1]!'NQ.EQNQ.269@lst_prctck'</f>
        <v>+ + + + -</v>
      </c>
      <c r="K12">
        <f>[1]!'NQ.EQNQ.269@trade_volume_bi'</f>
        <v>2231084</v>
      </c>
      <c r="L12">
        <f>[1]!'NQ.EQNQ.269@trade_count'</f>
        <v>0</v>
      </c>
      <c r="M12" t="str">
        <f>[1]!'NQ.EQNQ.269@prc_ql_cd'</f>
        <v>CONT</v>
      </c>
      <c r="N12" t="str">
        <f>[1]!'NQ.EQNQ.269@trade_time'</f>
        <v>22.00.00</v>
      </c>
    </row>
    <row r="13" spans="1:14" x14ac:dyDescent="0.3">
      <c r="A13" t="str">
        <f>[1]!'NQ.EQNQ.1132@symbol'</f>
        <v>ADI</v>
      </c>
      <c r="B13" t="str">
        <f>[1]!'NQ.EQNQ.1132@instrument_name'</f>
        <v>ANALOG DEVICES INC.</v>
      </c>
      <c r="C13" t="str">
        <f>[1]!'NQ.EQNQ.1132@exchange_name'</f>
        <v>NASDAQ</v>
      </c>
      <c r="D13">
        <f>[1]!'NQ.EQNQ.1132@last_price'</f>
        <v>148.76</v>
      </c>
      <c r="E13">
        <f>[1]!'NQ.EQNQ.1132@percentage_change'</f>
        <v>-1.17</v>
      </c>
      <c r="F13">
        <f>[1]!'NQ.EQNQ.1132@best_bsiz1'</f>
        <v>100</v>
      </c>
      <c r="G13">
        <f>[1]!'NQ.EQNQ.1132@best_bid1'</f>
        <v>148.76</v>
      </c>
      <c r="H13">
        <f>[1]!'NQ.EQNQ.1132@best_ask1'</f>
        <v>149.71</v>
      </c>
      <c r="I13">
        <f>[1]!'NQ.EQNQ.1132@best_asiz1'</f>
        <v>100</v>
      </c>
      <c r="J13" t="str">
        <f>[1]!'NQ.EQNQ.1132@lst_prctck'</f>
        <v>+ - - + -</v>
      </c>
      <c r="K13">
        <f>[1]!'NQ.EQNQ.1132@trade_volume_bi'</f>
        <v>2169046</v>
      </c>
      <c r="L13">
        <f>[1]!'NQ.EQNQ.1132@trade_count'</f>
        <v>0</v>
      </c>
      <c r="M13" t="str">
        <f>[1]!'NQ.EQNQ.1132@prc_ql_cd'</f>
        <v>CONT</v>
      </c>
      <c r="N13" t="str">
        <f>[1]!'NQ.EQNQ.1132@trade_time'</f>
        <v>22.00.00</v>
      </c>
    </row>
    <row r="14" spans="1:14" x14ac:dyDescent="0.3">
      <c r="A14" t="str">
        <f>[1]!'NQ.EQNQ.1696338@symbol'</f>
        <v>ANSS</v>
      </c>
      <c r="B14" t="str">
        <f>[1]!'NQ.EQNQ.1696338@instrument_name'</f>
        <v>ANSYS</v>
      </c>
      <c r="C14" t="str">
        <f>[1]!'NQ.EQNQ.1696338@exchange_name'</f>
        <v>NASDAQ</v>
      </c>
      <c r="D14">
        <f>[1]!'NQ.EQNQ.1696338@last_price'</f>
        <v>379.48</v>
      </c>
      <c r="E14">
        <f>[1]!'NQ.EQNQ.1696338@percentage_change'</f>
        <v>0.55000000000000004</v>
      </c>
      <c r="F14">
        <f>[1]!'NQ.EQNQ.1696338@best_bsiz1'</f>
        <v>100</v>
      </c>
      <c r="G14">
        <f>[1]!'NQ.EQNQ.1696338@best_bid1'</f>
        <v>371.14</v>
      </c>
      <c r="H14">
        <f>[1]!'NQ.EQNQ.1696338@best_ask1'</f>
        <v>399.99</v>
      </c>
      <c r="I14">
        <f>[1]!'NQ.EQNQ.1696338@best_asiz1'</f>
        <v>100</v>
      </c>
      <c r="J14" t="str">
        <f>[1]!'NQ.EQNQ.1696338@lst_prctck'</f>
        <v>- - - - +</v>
      </c>
      <c r="K14">
        <f>[1]!'NQ.EQNQ.1696338@trade_volume_bi'</f>
        <v>306264</v>
      </c>
      <c r="L14">
        <f>[1]!'NQ.EQNQ.1696338@trade_count'</f>
        <v>0</v>
      </c>
      <c r="M14" t="str">
        <f>[1]!'NQ.EQNQ.1696338@prc_ql_cd'</f>
        <v>CONT</v>
      </c>
      <c r="N14" t="str">
        <f>[1]!'NQ.EQNQ.1696338@trade_time'</f>
        <v>22.00.00</v>
      </c>
    </row>
    <row r="15" spans="1:14" x14ac:dyDescent="0.3">
      <c r="A15" t="str">
        <f>[1]!'NQ.EQNQ.314@symbol'</f>
        <v>AAPL</v>
      </c>
      <c r="B15" t="str">
        <f>[1]!'NQ.EQNQ.314@instrument_name'</f>
        <v>APPLE COMPUTER CORP.</v>
      </c>
      <c r="C15" t="str">
        <f>[1]!'NQ.EQNQ.314@exchange_name'</f>
        <v>NASDAQ</v>
      </c>
      <c r="D15">
        <f>[1]!'NQ.EQNQ.314@last_price'</f>
        <v>136.76</v>
      </c>
      <c r="E15">
        <f>[1]!'NQ.EQNQ.314@percentage_change'</f>
        <v>-0.31</v>
      </c>
      <c r="F15">
        <f>[1]!'NQ.EQNQ.314@best_bsiz1'</f>
        <v>100</v>
      </c>
      <c r="G15">
        <f>[1]!'NQ.EQNQ.314@best_bid1'</f>
        <v>136.51</v>
      </c>
      <c r="H15">
        <f>[1]!'NQ.EQNQ.314@best_ask1'</f>
        <v>136.55000000000001</v>
      </c>
      <c r="I15">
        <f>[1]!'NQ.EQNQ.314@best_asiz1'</f>
        <v>100</v>
      </c>
      <c r="J15" t="str">
        <f>[1]!'NQ.EQNQ.314@lst_prctck'</f>
        <v>- - + - +</v>
      </c>
      <c r="K15">
        <f>[1]!'NQ.EQNQ.314@trade_volume_bi'</f>
        <v>75277646</v>
      </c>
      <c r="L15">
        <f>[1]!'NQ.EQNQ.314@trade_count'</f>
        <v>0</v>
      </c>
      <c r="M15" t="str">
        <f>[1]!'NQ.EQNQ.314@prc_ql_cd'</f>
        <v>CONT</v>
      </c>
      <c r="N15" t="str">
        <f>[1]!'NQ.EQNQ.314@trade_time'</f>
        <v>22.00.00</v>
      </c>
    </row>
    <row r="16" spans="1:14" x14ac:dyDescent="0.3">
      <c r="A16" t="str">
        <f>[1]!'NQ.EQNQ.1159@symbol'</f>
        <v>AMAT</v>
      </c>
      <c r="B16" t="str">
        <f>[1]!'NQ.EQNQ.1159@instrument_name'</f>
        <v>APPLIED MATERIALS INC.</v>
      </c>
      <c r="C16" t="str">
        <f>[1]!'NQ.EQNQ.1159@exchange_name'</f>
        <v>NASDAQ</v>
      </c>
      <c r="D16">
        <f>[1]!'NQ.EQNQ.1159@last_price'</f>
        <v>100.71</v>
      </c>
      <c r="E16">
        <f>[1]!'NQ.EQNQ.1159@percentage_change'</f>
        <v>-2.4500000000000002</v>
      </c>
      <c r="F16">
        <f>[1]!'NQ.EQNQ.1159@best_bsiz1'</f>
        <v>100</v>
      </c>
      <c r="G16">
        <f>[1]!'NQ.EQNQ.1159@best_bid1'</f>
        <v>100.71</v>
      </c>
      <c r="H16">
        <f>[1]!'NQ.EQNQ.1159@best_ask1'</f>
        <v>100.9</v>
      </c>
      <c r="I16">
        <f>[1]!'NQ.EQNQ.1159@best_asiz1'</f>
        <v>100</v>
      </c>
      <c r="J16" t="str">
        <f>[1]!'NQ.EQNQ.1159@lst_prctck'</f>
        <v>+ + + - +</v>
      </c>
      <c r="K16">
        <f>[1]!'NQ.EQNQ.1159@trade_volume_bi'</f>
        <v>6342941</v>
      </c>
      <c r="L16">
        <f>[1]!'NQ.EQNQ.1159@trade_count'</f>
        <v>0</v>
      </c>
      <c r="M16" t="str">
        <f>[1]!'NQ.EQNQ.1159@prc_ql_cd'</f>
        <v>CONT</v>
      </c>
      <c r="N16" t="str">
        <f>[1]!'NQ.EQNQ.1159@trade_time'</f>
        <v>22.00.00</v>
      </c>
    </row>
    <row r="17" spans="1:14" x14ac:dyDescent="0.3">
      <c r="A17" t="str">
        <f>[1]!'NQ.EQNQ.1689963@symbol'</f>
        <v>ASML</v>
      </c>
      <c r="B17" t="str">
        <f>[1]!'NQ.EQNQ.1689963@instrument_name'</f>
        <v>ASML HOLD NY REG NY REGISTERED SHS</v>
      </c>
      <c r="C17" t="str">
        <f>[1]!'NQ.EQNQ.1689963@exchange_name'</f>
        <v>NASDAQ</v>
      </c>
      <c r="D17">
        <f>[1]!'NQ.EQNQ.1689963@last_price'</f>
        <v>552.80999999999995</v>
      </c>
      <c r="E17">
        <f>[1]!'NQ.EQNQ.1689963@percentage_change'</f>
        <v>-0.47</v>
      </c>
      <c r="F17">
        <f>[1]!'NQ.EQNQ.1689963@best_bsiz1'</f>
        <v>100</v>
      </c>
      <c r="G17">
        <f>[1]!'NQ.EQNQ.1689963@best_bid1'</f>
        <v>552.54</v>
      </c>
      <c r="H17">
        <f>[1]!'NQ.EQNQ.1689963@best_ask1'</f>
        <v>553.71</v>
      </c>
      <c r="I17">
        <f>[1]!'NQ.EQNQ.1689963@best_asiz1'</f>
        <v>300</v>
      </c>
      <c r="J17" t="str">
        <f>[1]!'NQ.EQNQ.1689963@lst_prctck'</f>
        <v>- - + - +</v>
      </c>
      <c r="K17">
        <f>[1]!'NQ.EQNQ.1689963@trade_volume_bi'</f>
        <v>460919</v>
      </c>
      <c r="L17">
        <f>[1]!'NQ.EQNQ.1689963@trade_count'</f>
        <v>0</v>
      </c>
      <c r="M17" t="str">
        <f>[1]!'NQ.EQNQ.1689963@prc_ql_cd'</f>
        <v>CONT</v>
      </c>
      <c r="N17" t="str">
        <f>[1]!'NQ.EQNQ.1689963@trade_time'</f>
        <v>22.00.00</v>
      </c>
    </row>
    <row r="18" spans="1:14" x14ac:dyDescent="0.3">
      <c r="A18" t="str">
        <f>[1]!'NQ.EQNQ.1726198@symbol'</f>
        <v>TEAM</v>
      </c>
      <c r="B18" t="str">
        <f>[1]!'NQ.EQNQ.1726198@instrument_name'</f>
        <v>ATLASSIAN -A- SHS -A-</v>
      </c>
      <c r="C18" t="str">
        <f>[1]!'NQ.EQNQ.1726198@exchange_name'</f>
        <v>NASDAQ</v>
      </c>
      <c r="D18">
        <f>[1]!'NQ.EQNQ.1726198@last_price'</f>
        <v>243.8</v>
      </c>
      <c r="E18">
        <f>[1]!'NQ.EQNQ.1726198@percentage_change'</f>
        <v>1.1599999999999999</v>
      </c>
      <c r="F18">
        <f>[1]!'NQ.EQNQ.1726198@best_bsiz1'</f>
        <v>200</v>
      </c>
      <c r="G18">
        <f>[1]!'NQ.EQNQ.1726198@best_bid1'</f>
        <v>240.01</v>
      </c>
      <c r="H18">
        <f>[1]!'NQ.EQNQ.1726198@best_ask1'</f>
        <v>249.87</v>
      </c>
      <c r="I18">
        <f>[1]!'NQ.EQNQ.1726198@best_asiz1'</f>
        <v>200</v>
      </c>
      <c r="J18" t="str">
        <f>[1]!'NQ.EQNQ.1726198@lst_prctck'</f>
        <v>+ + - - -</v>
      </c>
      <c r="K18">
        <f>[1]!'NQ.EQNQ.1726198@trade_volume_bi'</f>
        <v>956491</v>
      </c>
      <c r="L18">
        <f>[1]!'NQ.EQNQ.1726198@trade_count'</f>
        <v>0</v>
      </c>
      <c r="M18" t="str">
        <f>[1]!'NQ.EQNQ.1726198@prc_ql_cd'</f>
        <v>CONT</v>
      </c>
      <c r="N18" t="str">
        <f>[1]!'NQ.EQNQ.1726198@trade_time'</f>
        <v>22.00.00</v>
      </c>
    </row>
    <row r="19" spans="1:14" x14ac:dyDescent="0.3">
      <c r="A19" t="str">
        <f>[1]!'NQ.EQNQ.47416@symbol'</f>
        <v>ADSK</v>
      </c>
      <c r="B19" t="str">
        <f>[1]!'NQ.EQNQ.47416@instrument_name'</f>
        <v>AUTODESK INC</v>
      </c>
      <c r="C19" t="str">
        <f>[1]!'NQ.EQNQ.47416@exchange_name'</f>
        <v>NASDAQ</v>
      </c>
      <c r="D19">
        <f>[1]!'NQ.EQNQ.47416@last_price'</f>
        <v>305.86</v>
      </c>
      <c r="E19">
        <f>[1]!'NQ.EQNQ.47416@percentage_change'</f>
        <v>1.79</v>
      </c>
      <c r="F19">
        <f>[1]!'NQ.EQNQ.47416@best_bsiz1'</f>
        <v>100</v>
      </c>
      <c r="G19">
        <f>[1]!'NQ.EQNQ.47416@best_bid1'</f>
        <v>305</v>
      </c>
      <c r="H19">
        <f>[1]!'NQ.EQNQ.47416@best_ask1'</f>
        <v>308.32</v>
      </c>
      <c r="I19">
        <f>[1]!'NQ.EQNQ.47416@best_asiz1'</f>
        <v>100</v>
      </c>
      <c r="J19" t="str">
        <f>[1]!'NQ.EQNQ.47416@lst_prctck'</f>
        <v>- + + - -</v>
      </c>
      <c r="K19">
        <f>[1]!'NQ.EQNQ.47416@trade_volume_bi'</f>
        <v>1085124</v>
      </c>
      <c r="L19">
        <f>[1]!'NQ.EQNQ.47416@trade_count'</f>
        <v>0</v>
      </c>
      <c r="M19" t="str">
        <f>[1]!'NQ.EQNQ.47416@prc_ql_cd'</f>
        <v>CONT</v>
      </c>
      <c r="N19" t="str">
        <f>[1]!'NQ.EQNQ.47416@trade_time'</f>
        <v>22.00.00</v>
      </c>
    </row>
    <row r="20" spans="1:14" x14ac:dyDescent="0.3">
      <c r="A20" t="str">
        <f>[1]!'NQ.EQNQ.1221@symbol'</f>
        <v>ADP</v>
      </c>
      <c r="B20" t="str">
        <f>[1]!'NQ.EQNQ.1221@instrument_name'</f>
        <v>AUTOMATIC DATA PROCESSING</v>
      </c>
      <c r="C20" t="str">
        <f>[1]!'NQ.EQNQ.1221@exchange_name'</f>
        <v>NASDAQ</v>
      </c>
      <c r="D20">
        <f>[1]!'NQ.EQNQ.1221@last_price'</f>
        <v>167.28</v>
      </c>
      <c r="E20">
        <f>[1]!'NQ.EQNQ.1221@percentage_change'</f>
        <v>-1.92</v>
      </c>
      <c r="F20">
        <f>[1]!'NQ.EQNQ.1221@best_bsiz1'</f>
        <v>100</v>
      </c>
      <c r="G20">
        <f>[1]!'NQ.EQNQ.1221@best_bid1'</f>
        <v>167</v>
      </c>
      <c r="H20">
        <f>[1]!'NQ.EQNQ.1221@best_ask1'</f>
        <v>169.38</v>
      </c>
      <c r="I20">
        <f>[1]!'NQ.EQNQ.1221@best_asiz1'</f>
        <v>100</v>
      </c>
      <c r="J20" t="str">
        <f>[1]!'NQ.EQNQ.1221@lst_prctck'</f>
        <v>+ - + + +</v>
      </c>
      <c r="K20">
        <f>[1]!'NQ.EQNQ.1221@trade_volume_bi'</f>
        <v>1534840</v>
      </c>
      <c r="L20">
        <f>[1]!'NQ.EQNQ.1221@trade_count'</f>
        <v>0</v>
      </c>
      <c r="M20" t="str">
        <f>[1]!'NQ.EQNQ.1221@prc_ql_cd'</f>
        <v>CONT</v>
      </c>
      <c r="N20" t="str">
        <f>[1]!'NQ.EQNQ.1221@trade_time'</f>
        <v>22.00.00</v>
      </c>
    </row>
    <row r="21" spans="1:14" x14ac:dyDescent="0.3">
      <c r="A21" t="str">
        <f>[1]!'NQ.EQNQ.103762@symbol'</f>
        <v>BIDU</v>
      </c>
      <c r="B21" t="str">
        <f>[1]!'NQ.EQNQ.103762@instrument_name'</f>
        <v>BAIDU.COM SP ADR-A</v>
      </c>
      <c r="C21" t="str">
        <f>[1]!'NQ.EQNQ.103762@exchange_name'</f>
        <v>NASDAQ</v>
      </c>
      <c r="D21">
        <f>[1]!'NQ.EQNQ.103762@last_price'</f>
        <v>270.13</v>
      </c>
      <c r="E21">
        <f>[1]!'NQ.EQNQ.103762@percentage_change'</f>
        <v>4.53</v>
      </c>
      <c r="F21">
        <f>[1]!'NQ.EQNQ.103762@best_bsiz1'</f>
        <v>100</v>
      </c>
      <c r="G21">
        <f>[1]!'NQ.EQNQ.103762@best_bid1'</f>
        <v>269.75</v>
      </c>
      <c r="H21">
        <f>[1]!'NQ.EQNQ.103762@best_ask1'</f>
        <v>270</v>
      </c>
      <c r="I21">
        <f>[1]!'NQ.EQNQ.103762@best_asiz1'</f>
        <v>400</v>
      </c>
      <c r="J21" t="str">
        <f>[1]!'NQ.EQNQ.103762@lst_prctck'</f>
        <v>- + - - -</v>
      </c>
      <c r="K21">
        <f>[1]!'NQ.EQNQ.103762@trade_volume_bi'</f>
        <v>8132579</v>
      </c>
      <c r="L21">
        <f>[1]!'NQ.EQNQ.103762@trade_count'</f>
        <v>0</v>
      </c>
      <c r="M21" t="str">
        <f>[1]!'NQ.EQNQ.103762@prc_ql_cd'</f>
        <v>CONT</v>
      </c>
      <c r="N21" t="str">
        <f>[1]!'NQ.EQNQ.103762@trade_time'</f>
        <v>22.00.00</v>
      </c>
    </row>
    <row r="22" spans="1:14" x14ac:dyDescent="0.3">
      <c r="A22" t="str">
        <f>[1]!'NQ.EQNQ.72894@symbol'</f>
        <v>BIIB</v>
      </c>
      <c r="B22" t="str">
        <f>[1]!'NQ.EQNQ.72894@instrument_name'</f>
        <v>BIOGEN IDEC</v>
      </c>
      <c r="C22" t="str">
        <f>[1]!'NQ.EQNQ.72894@exchange_name'</f>
        <v>NASDAQ</v>
      </c>
      <c r="D22">
        <f>[1]!'NQ.EQNQ.72894@last_price'</f>
        <v>265.08999999999997</v>
      </c>
      <c r="E22">
        <f>[1]!'NQ.EQNQ.72894@percentage_change'</f>
        <v>-0.86</v>
      </c>
      <c r="F22">
        <f>[1]!'NQ.EQNQ.72894@best_bsiz1'</f>
        <v>100</v>
      </c>
      <c r="G22">
        <f>[1]!'NQ.EQNQ.72894@best_bid1'</f>
        <v>265.12</v>
      </c>
      <c r="H22">
        <f>[1]!'NQ.EQNQ.72894@best_ask1'</f>
        <v>266.66000000000003</v>
      </c>
      <c r="I22">
        <f>[1]!'NQ.EQNQ.72894@best_asiz1'</f>
        <v>100</v>
      </c>
      <c r="J22" t="str">
        <f>[1]!'NQ.EQNQ.72894@lst_prctck'</f>
        <v>- + - + -</v>
      </c>
      <c r="K22">
        <f>[1]!'NQ.EQNQ.72894@trade_volume_bi'</f>
        <v>1060894</v>
      </c>
      <c r="L22">
        <f>[1]!'NQ.EQNQ.72894@trade_count'</f>
        <v>0</v>
      </c>
      <c r="M22" t="str">
        <f>[1]!'NQ.EQNQ.72894@prc_ql_cd'</f>
        <v>CONT</v>
      </c>
      <c r="N22" t="str">
        <f>[1]!'NQ.EQNQ.72894@trade_time'</f>
        <v>22.00.00</v>
      </c>
    </row>
    <row r="23" spans="1:14" x14ac:dyDescent="0.3">
      <c r="A23" t="str">
        <f>[1]!'NQ.EQNQ.1858503@symbol'</f>
        <v>BKNG</v>
      </c>
      <c r="B23" t="str">
        <f>[1]!'NQ.EQNQ.1858503@instrument_name'</f>
        <v>BOOKING HLDG RG REGISTERED SHS INC</v>
      </c>
      <c r="C23" t="str">
        <f>[1]!'NQ.EQNQ.1858503@exchange_name'</f>
        <v>NASDAQ</v>
      </c>
      <c r="D23">
        <f>[1]!'NQ.EQNQ.1858503@last_price'</f>
        <v>2096.42</v>
      </c>
      <c r="E23">
        <f>[1]!'NQ.EQNQ.1858503@percentage_change'</f>
        <v>0.65</v>
      </c>
      <c r="F23">
        <f>[1]!'NQ.EQNQ.1858503@best_bsiz1'</f>
        <v>200</v>
      </c>
      <c r="G23">
        <f>[1]!'NQ.EQNQ.1858503@best_bid1'</f>
        <v>2072.67</v>
      </c>
      <c r="H23">
        <f>[1]!'NQ.EQNQ.1858503@best_ask1'</f>
        <v>2100</v>
      </c>
      <c r="I23">
        <f>[1]!'NQ.EQNQ.1858503@best_asiz1'</f>
        <v>100</v>
      </c>
      <c r="J23" t="str">
        <f>[1]!'NQ.EQNQ.1858503@lst_prctck'</f>
        <v>+ + + - +</v>
      </c>
      <c r="K23">
        <f>[1]!'NQ.EQNQ.1858503@trade_volume_bi'</f>
        <v>237626</v>
      </c>
      <c r="L23">
        <f>[1]!'NQ.EQNQ.1858503@trade_count'</f>
        <v>0</v>
      </c>
      <c r="M23" t="str">
        <f>[1]!'NQ.EQNQ.1858503@prc_ql_cd'</f>
        <v>CONT</v>
      </c>
      <c r="N23" t="str">
        <f>[1]!'NQ.EQNQ.1858503@trade_time'</f>
        <v>22.00.00</v>
      </c>
    </row>
    <row r="24" spans="1:14" x14ac:dyDescent="0.3">
      <c r="A24" t="str">
        <f>[1]!'NQ.EQNQ.1866267@symbol'</f>
        <v>AVGO</v>
      </c>
      <c r="B24" t="str">
        <f>[1]!'NQ.EQNQ.1866267@instrument_name'</f>
        <v>BROADCOM RG REGISTERED SHS</v>
      </c>
      <c r="C24" t="str">
        <f>[1]!'NQ.EQNQ.1866267@exchange_name'</f>
        <v>NASDAQ</v>
      </c>
      <c r="D24">
        <f>[1]!'NQ.EQNQ.1866267@last_price'</f>
        <v>466.01</v>
      </c>
      <c r="E24">
        <f>[1]!'NQ.EQNQ.1866267@percentage_change'</f>
        <v>-0.98</v>
      </c>
      <c r="F24">
        <f>[1]!'NQ.EQNQ.1866267@best_bsiz1'</f>
        <v>100</v>
      </c>
      <c r="G24">
        <f>[1]!'NQ.EQNQ.1866267@best_bid1'</f>
        <v>465.02</v>
      </c>
      <c r="H24">
        <f>[1]!'NQ.EQNQ.1866267@best_ask1'</f>
        <v>469.24</v>
      </c>
      <c r="I24">
        <f>[1]!'NQ.EQNQ.1866267@best_asiz1'</f>
        <v>100</v>
      </c>
      <c r="J24" t="str">
        <f>[1]!'NQ.EQNQ.1866267@lst_prctck'</f>
        <v>+ + - - -</v>
      </c>
      <c r="K24">
        <f>[1]!'NQ.EQNQ.1866267@trade_volume_bi'</f>
        <v>1244762</v>
      </c>
      <c r="L24">
        <f>[1]!'NQ.EQNQ.1866267@trade_count'</f>
        <v>0</v>
      </c>
      <c r="M24" t="str">
        <f>[1]!'NQ.EQNQ.1866267@prc_ql_cd'</f>
        <v>CONT</v>
      </c>
      <c r="N24" t="str">
        <f>[1]!'NQ.EQNQ.1866267@trade_time'</f>
        <v>22.00.01</v>
      </c>
    </row>
    <row r="25" spans="1:14" x14ac:dyDescent="0.3">
      <c r="A25" t="str">
        <f>[1]!'NQ.EQNQ.1521@symbol'</f>
        <v>CDNS</v>
      </c>
      <c r="B25" t="str">
        <f>[1]!'NQ.EQNQ.1521@instrument_name'</f>
        <v>CADENCE DESIGN</v>
      </c>
      <c r="C25" t="str">
        <f>[1]!'NQ.EQNQ.1521@exchange_name'</f>
        <v>NASDAQ</v>
      </c>
      <c r="D25">
        <f>[1]!'NQ.EQNQ.1521@last_price'</f>
        <v>135.80000000000001</v>
      </c>
      <c r="E25">
        <f>[1]!'NQ.EQNQ.1521@percentage_change'</f>
        <v>-0.95</v>
      </c>
      <c r="F25">
        <f>[1]!'NQ.EQNQ.1521@best_bsiz1'</f>
        <v>100</v>
      </c>
      <c r="G25">
        <f>[1]!'NQ.EQNQ.1521@best_bid1'</f>
        <v>135.21</v>
      </c>
      <c r="H25">
        <f>[1]!'NQ.EQNQ.1521@best_ask1'</f>
        <v>139.32</v>
      </c>
      <c r="I25">
        <f>[1]!'NQ.EQNQ.1521@best_asiz1'</f>
        <v>100</v>
      </c>
      <c r="J25" t="str">
        <f>[1]!'NQ.EQNQ.1521@lst_prctck'</f>
        <v>+ - + - +</v>
      </c>
      <c r="K25">
        <f>[1]!'NQ.EQNQ.1521@trade_volume_bi'</f>
        <v>1801183</v>
      </c>
      <c r="L25">
        <f>[1]!'NQ.EQNQ.1521@trade_count'</f>
        <v>0</v>
      </c>
      <c r="M25" t="str">
        <f>[1]!'NQ.EQNQ.1521@prc_ql_cd'</f>
        <v>CONT</v>
      </c>
      <c r="N25" t="str">
        <f>[1]!'NQ.EQNQ.1521@trade_time'</f>
        <v>22.00.00</v>
      </c>
    </row>
    <row r="26" spans="1:14" x14ac:dyDescent="0.3">
      <c r="A26" t="str">
        <f>[1]!'NQ.EQNQ.1745994@symbol'</f>
        <v>CDW</v>
      </c>
      <c r="B26" t="str">
        <f>[1]!'NQ.EQNQ.1745994@instrument_name'</f>
        <v>CDW-ORD SHS</v>
      </c>
      <c r="C26" t="str">
        <f>[1]!'NQ.EQNQ.1745994@exchange_name'</f>
        <v>NASDAQ</v>
      </c>
      <c r="D26">
        <f>[1]!'NQ.EQNQ.1745994@last_price'</f>
        <v>150.97</v>
      </c>
      <c r="E26">
        <f>[1]!'NQ.EQNQ.1745994@percentage_change'</f>
        <v>0.66</v>
      </c>
      <c r="F26">
        <f>[1]!'NQ.EQNQ.1745994@best_bsiz1'</f>
        <v>200</v>
      </c>
      <c r="G26">
        <f>[1]!'NQ.EQNQ.1745994@best_bid1'</f>
        <v>146.28</v>
      </c>
      <c r="H26">
        <f>[1]!'NQ.EQNQ.1745994@best_ask1'</f>
        <v>151.66</v>
      </c>
      <c r="I26">
        <f>[1]!'NQ.EQNQ.1745994@best_asiz1'</f>
        <v>100</v>
      </c>
      <c r="J26" t="str">
        <f>[1]!'NQ.EQNQ.1745994@lst_prctck'</f>
        <v>- - + - -</v>
      </c>
      <c r="K26">
        <f>[1]!'NQ.EQNQ.1745994@trade_volume_bi'</f>
        <v>628744</v>
      </c>
      <c r="L26">
        <f>[1]!'NQ.EQNQ.1745994@trade_count'</f>
        <v>0</v>
      </c>
      <c r="M26" t="str">
        <f>[1]!'NQ.EQNQ.1745994@prc_ql_cd'</f>
        <v>CONT</v>
      </c>
      <c r="N26" t="str">
        <f>[1]!'NQ.EQNQ.1745994@trade_time'</f>
        <v>22.00.00</v>
      </c>
    </row>
    <row r="27" spans="1:14" x14ac:dyDescent="0.3">
      <c r="A27" t="str">
        <f>[1]!'NQ.EQNQ.1155@symbol'</f>
        <v>CERN</v>
      </c>
      <c r="B27" t="str">
        <f>[1]!'NQ.EQNQ.1155@instrument_name'</f>
        <v>CERNER CORP</v>
      </c>
      <c r="C27" t="str">
        <f>[1]!'NQ.EQNQ.1155@exchange_name'</f>
        <v>NASDAQ</v>
      </c>
      <c r="D27">
        <f>[1]!'NQ.EQNQ.1155@last_price'</f>
        <v>79.819999999999993</v>
      </c>
      <c r="E27">
        <f>[1]!'NQ.EQNQ.1155@percentage_change'</f>
        <v>-0.34</v>
      </c>
      <c r="F27">
        <f>[1]!'NQ.EQNQ.1155@best_bsiz1'</f>
        <v>100</v>
      </c>
      <c r="G27">
        <f>[1]!'NQ.EQNQ.1155@best_bid1'</f>
        <v>79.849999999999994</v>
      </c>
      <c r="H27">
        <f>[1]!'NQ.EQNQ.1155@best_ask1'</f>
        <v>80.73</v>
      </c>
      <c r="I27">
        <f>[1]!'NQ.EQNQ.1155@best_asiz1'</f>
        <v>100</v>
      </c>
      <c r="J27" t="str">
        <f>[1]!'NQ.EQNQ.1155@lst_prctck'</f>
        <v>- + + + +</v>
      </c>
      <c r="K27">
        <f>[1]!'NQ.EQNQ.1155@trade_volume_bi'</f>
        <v>927964</v>
      </c>
      <c r="L27">
        <f>[1]!'NQ.EQNQ.1155@trade_count'</f>
        <v>0</v>
      </c>
      <c r="M27" t="str">
        <f>[1]!'NQ.EQNQ.1155@prc_ql_cd'</f>
        <v>CONT</v>
      </c>
      <c r="N27" t="str">
        <f>[1]!'NQ.EQNQ.1155@trade_time'</f>
        <v>22.00.00</v>
      </c>
    </row>
    <row r="28" spans="1:14" x14ac:dyDescent="0.3">
      <c r="A28" t="str">
        <f>[1]!'NQ.EQNQ.1062092@symbol'</f>
        <v>CHTR</v>
      </c>
      <c r="B28" t="str">
        <f>[1]!'NQ.EQNQ.1062092@instrument_name'</f>
        <v>CHARTER COMM-A SHS -A-</v>
      </c>
      <c r="C28" t="str">
        <f>[1]!'NQ.EQNQ.1062092@exchange_name'</f>
        <v>NASDAQ</v>
      </c>
      <c r="D28">
        <f>[1]!'NQ.EQNQ.1062092@last_price'</f>
        <v>617.65</v>
      </c>
      <c r="E28">
        <f>[1]!'NQ.EQNQ.1062092@percentage_change'</f>
        <v>-0.35</v>
      </c>
      <c r="F28">
        <f>[1]!'NQ.EQNQ.1062092@best_bsiz1'</f>
        <v>100</v>
      </c>
      <c r="G28">
        <f>[1]!'NQ.EQNQ.1062092@best_bid1'</f>
        <v>599</v>
      </c>
      <c r="H28">
        <f>[1]!'NQ.EQNQ.1062092@best_ask1'</f>
        <v>673.99</v>
      </c>
      <c r="I28">
        <f>[1]!'NQ.EQNQ.1062092@best_asiz1'</f>
        <v>100</v>
      </c>
      <c r="J28" t="str">
        <f>[1]!'NQ.EQNQ.1062092@lst_prctck'</f>
        <v>+ + - + +</v>
      </c>
      <c r="K28">
        <f>[1]!'NQ.EQNQ.1062092@trade_volume_bi'</f>
        <v>732402</v>
      </c>
      <c r="L28">
        <f>[1]!'NQ.EQNQ.1062092@trade_count'</f>
        <v>0</v>
      </c>
      <c r="M28" t="str">
        <f>[1]!'NQ.EQNQ.1062092@prc_ql_cd'</f>
        <v>CONT</v>
      </c>
      <c r="N28" t="str">
        <f>[1]!'NQ.EQNQ.1062092@trade_time'</f>
        <v>22.00.00</v>
      </c>
    </row>
    <row r="29" spans="1:14" x14ac:dyDescent="0.3">
      <c r="A29" t="str">
        <f>[1]!'NQ.EQNQ.5022@symbol'</f>
        <v>CHKP</v>
      </c>
      <c r="B29" t="str">
        <f>[1]!'NQ.EQNQ.5022@instrument_name'</f>
        <v>CHECK POINT SOFTWARE TECH.</v>
      </c>
      <c r="C29" t="str">
        <f>[1]!'NQ.EQNQ.5022@exchange_name'</f>
        <v>NASDAQ</v>
      </c>
      <c r="D29">
        <f>[1]!'NQ.EQNQ.5022@last_price'</f>
        <v>118.26</v>
      </c>
      <c r="E29">
        <f>[1]!'NQ.EQNQ.5022@percentage_change'</f>
        <v>-1.92</v>
      </c>
      <c r="F29">
        <f>[1]!'NQ.EQNQ.5022@best_bsiz1'</f>
        <v>200</v>
      </c>
      <c r="G29">
        <f>[1]!'NQ.EQNQ.5022@best_bid1'</f>
        <v>117.81</v>
      </c>
      <c r="H29">
        <f>[1]!'NQ.EQNQ.5022@best_ask1'</f>
        <v>118.3</v>
      </c>
      <c r="I29">
        <f>[1]!'NQ.EQNQ.5022@best_asiz1'</f>
        <v>100</v>
      </c>
      <c r="J29" t="str">
        <f>[1]!'NQ.EQNQ.5022@lst_prctck'</f>
        <v>+ - - - +</v>
      </c>
      <c r="K29">
        <f>[1]!'NQ.EQNQ.5022@trade_volume_bi'</f>
        <v>2224619</v>
      </c>
      <c r="L29">
        <f>[1]!'NQ.EQNQ.5022@trade_count'</f>
        <v>0</v>
      </c>
      <c r="M29" t="str">
        <f>[1]!'NQ.EQNQ.5022@prc_ql_cd'</f>
        <v>CONT</v>
      </c>
      <c r="N29" t="str">
        <f>[1]!'NQ.EQNQ.5022@trade_time'</f>
        <v>22.00.01</v>
      </c>
    </row>
    <row r="30" spans="1:14" x14ac:dyDescent="0.3">
      <c r="A30" t="str">
        <f>[1]!'NQ.EQNQ.1325@symbol'</f>
        <v>CTAS</v>
      </c>
      <c r="B30" t="str">
        <f>[1]!'NQ.EQNQ.1325@instrument_name'</f>
        <v>CINTAS</v>
      </c>
      <c r="C30" t="str">
        <f>[1]!'NQ.EQNQ.1325@exchange_name'</f>
        <v>NASDAQ</v>
      </c>
      <c r="D30">
        <f>[1]!'NQ.EQNQ.1325@last_price'</f>
        <v>344.98</v>
      </c>
      <c r="E30">
        <f>[1]!'NQ.EQNQ.1325@percentage_change'</f>
        <v>1.99</v>
      </c>
      <c r="F30">
        <f>[1]!'NQ.EQNQ.1325@best_bsiz1'</f>
        <v>100</v>
      </c>
      <c r="G30">
        <f>[1]!'NQ.EQNQ.1325@best_bid1'</f>
        <v>335.74</v>
      </c>
      <c r="H30">
        <f>[1]!'NQ.EQNQ.1325@best_ask1'</f>
        <v>354.47</v>
      </c>
      <c r="I30">
        <f>[1]!'NQ.EQNQ.1325@best_asiz1'</f>
        <v>100</v>
      </c>
      <c r="J30" t="str">
        <f>[1]!'NQ.EQNQ.1325@lst_prctck'</f>
        <v>- - + + +</v>
      </c>
      <c r="K30">
        <f>[1]!'NQ.EQNQ.1325@trade_volume_bi'</f>
        <v>419426</v>
      </c>
      <c r="L30">
        <f>[1]!'NQ.EQNQ.1325@trade_count'</f>
        <v>0</v>
      </c>
      <c r="M30" t="str">
        <f>[1]!'NQ.EQNQ.1325@prc_ql_cd'</f>
        <v>CONT</v>
      </c>
      <c r="N30" t="str">
        <f>[1]!'NQ.EQNQ.1325@trade_time'</f>
        <v>22.00.00</v>
      </c>
    </row>
    <row r="31" spans="1:14" x14ac:dyDescent="0.3">
      <c r="A31" t="str">
        <f>[1]!'NQ.EQNQ.381@symbol'</f>
        <v>CSCO</v>
      </c>
      <c r="B31" t="str">
        <f>[1]!'NQ.EQNQ.381@instrument_name'</f>
        <v>CISCO SYSTEMS</v>
      </c>
      <c r="C31" t="str">
        <f>[1]!'NQ.EQNQ.381@exchange_name'</f>
        <v>NASDAQ</v>
      </c>
      <c r="D31">
        <f>[1]!'NQ.EQNQ.381@last_price'</f>
        <v>48.08</v>
      </c>
      <c r="E31">
        <f>[1]!'NQ.EQNQ.381@percentage_change'</f>
        <v>1.76</v>
      </c>
      <c r="F31">
        <f>[1]!'NQ.EQNQ.381@best_bsiz1'</f>
        <v>1000</v>
      </c>
      <c r="G31">
        <f>[1]!'NQ.EQNQ.381@best_bid1'</f>
        <v>48</v>
      </c>
      <c r="H31">
        <f>[1]!'NQ.EQNQ.381@best_ask1'</f>
        <v>48.12</v>
      </c>
      <c r="I31">
        <f>[1]!'NQ.EQNQ.381@best_asiz1'</f>
        <v>200</v>
      </c>
      <c r="J31" t="str">
        <f>[1]!'NQ.EQNQ.381@lst_prctck'</f>
        <v>- + - - -</v>
      </c>
      <c r="K31">
        <f>[1]!'NQ.EQNQ.381@trade_volume_bi'</f>
        <v>25214131</v>
      </c>
      <c r="L31">
        <f>[1]!'NQ.EQNQ.381@trade_count'</f>
        <v>0</v>
      </c>
      <c r="M31" t="str">
        <f>[1]!'NQ.EQNQ.381@prc_ql_cd'</f>
        <v>CONT</v>
      </c>
      <c r="N31" t="str">
        <f>[1]!'NQ.EQNQ.381@trade_time'</f>
        <v>22.00.00</v>
      </c>
    </row>
    <row r="32" spans="1:14" x14ac:dyDescent="0.3">
      <c r="A32" t="str">
        <f>[1]!'NQ.EQNQ.10983@symbol'</f>
        <v>CTSH</v>
      </c>
      <c r="B32" t="str">
        <f>[1]!'NQ.EQNQ.10983@instrument_name'</f>
        <v>COGNIZANT TECH SO-A</v>
      </c>
      <c r="C32" t="str">
        <f>[1]!'NQ.EQNQ.10983@exchange_name'</f>
        <v>NASDAQ</v>
      </c>
      <c r="D32">
        <f>[1]!'NQ.EQNQ.10983@last_price'</f>
        <v>74.5</v>
      </c>
      <c r="E32">
        <f>[1]!'NQ.EQNQ.10983@percentage_change'</f>
        <v>-0.25</v>
      </c>
      <c r="F32">
        <f>[1]!'NQ.EQNQ.10983@best_bsiz1'</f>
        <v>200</v>
      </c>
      <c r="G32">
        <f>[1]!'NQ.EQNQ.10983@best_bid1'</f>
        <v>74.5</v>
      </c>
      <c r="H32">
        <f>[1]!'NQ.EQNQ.10983@best_ask1'</f>
        <v>75.52</v>
      </c>
      <c r="I32">
        <f>[1]!'NQ.EQNQ.10983@best_asiz1'</f>
        <v>100</v>
      </c>
      <c r="J32" t="str">
        <f>[1]!'NQ.EQNQ.10983@lst_prctck'</f>
        <v>+ + + + +</v>
      </c>
      <c r="K32">
        <f>[1]!'NQ.EQNQ.10983@trade_volume_bi'</f>
        <v>4676091</v>
      </c>
      <c r="L32">
        <f>[1]!'NQ.EQNQ.10983@trade_count'</f>
        <v>0</v>
      </c>
      <c r="M32" t="str">
        <f>[1]!'NQ.EQNQ.10983@prc_ql_cd'</f>
        <v>CONT</v>
      </c>
      <c r="N32" t="str">
        <f>[1]!'NQ.EQNQ.10983@trade_time'</f>
        <v>22.00.00</v>
      </c>
    </row>
    <row r="33" spans="1:14" x14ac:dyDescent="0.3">
      <c r="A33" t="str">
        <f>[1]!'NQ.EQNQ.55548@symbol'</f>
        <v>CMCSA</v>
      </c>
      <c r="B33" t="str">
        <f>[1]!'NQ.EQNQ.55548@instrument_name'</f>
        <v>COMCAST-A</v>
      </c>
      <c r="C33" t="str">
        <f>[1]!'NQ.EQNQ.55548@exchange_name'</f>
        <v>NASDAQ</v>
      </c>
      <c r="D33">
        <f>[1]!'NQ.EQNQ.55548@last_price'</f>
        <v>51.11</v>
      </c>
      <c r="E33">
        <f>[1]!'NQ.EQNQ.55548@percentage_change'</f>
        <v>-0.66</v>
      </c>
      <c r="F33">
        <f>[1]!'NQ.EQNQ.55548@best_bsiz1'</f>
        <v>100</v>
      </c>
      <c r="G33">
        <f>[1]!'NQ.EQNQ.55548@best_bid1'</f>
        <v>51.13</v>
      </c>
      <c r="H33">
        <f>[1]!'NQ.EQNQ.55548@best_ask1'</f>
        <v>51.2</v>
      </c>
      <c r="I33">
        <f>[1]!'NQ.EQNQ.55548@best_asiz1'</f>
        <v>200</v>
      </c>
      <c r="J33" t="str">
        <f>[1]!'NQ.EQNQ.55548@lst_prctck'</f>
        <v>- - - - +</v>
      </c>
      <c r="K33">
        <f>[1]!'NQ.EQNQ.55548@trade_volume_bi'</f>
        <v>11433481</v>
      </c>
      <c r="L33">
        <f>[1]!'NQ.EQNQ.55548@trade_count'</f>
        <v>0</v>
      </c>
      <c r="M33" t="str">
        <f>[1]!'NQ.EQNQ.55548@prc_ql_cd'</f>
        <v>CONT</v>
      </c>
      <c r="N33" t="str">
        <f>[1]!'NQ.EQNQ.55548@trade_time'</f>
        <v>22.00.00</v>
      </c>
    </row>
    <row r="34" spans="1:14" x14ac:dyDescent="0.3">
      <c r="A34" t="str">
        <f>[1]!'NQ.EQNQ.1727303@symbol'</f>
        <v>CPRT</v>
      </c>
      <c r="B34" t="str">
        <f>[1]!'NQ.EQNQ.1727303@instrument_name'</f>
        <v>COPART</v>
      </c>
      <c r="C34" t="str">
        <f>[1]!'NQ.EQNQ.1727303@exchange_name'</f>
        <v>NASDAQ</v>
      </c>
      <c r="D34">
        <f>[1]!'NQ.EQNQ.1727303@last_price'</f>
        <v>119.39</v>
      </c>
      <c r="E34">
        <f>[1]!'NQ.EQNQ.1727303@percentage_change'</f>
        <v>4.43</v>
      </c>
      <c r="F34">
        <f>[1]!'NQ.EQNQ.1727303@best_bsiz1'</f>
        <v>300</v>
      </c>
      <c r="G34">
        <f>[1]!'NQ.EQNQ.1727303@best_bid1'</f>
        <v>116.95</v>
      </c>
      <c r="H34">
        <f>[1]!'NQ.EQNQ.1727303@best_ask1'</f>
        <v>120.99</v>
      </c>
      <c r="I34">
        <f>[1]!'NQ.EQNQ.1727303@best_asiz1'</f>
        <v>300</v>
      </c>
      <c r="J34" t="str">
        <f>[1]!'NQ.EQNQ.1727303@lst_prctck'</f>
        <v>- + + - -</v>
      </c>
      <c r="K34">
        <f>[1]!'NQ.EQNQ.1727303@trade_volume_bi'</f>
        <v>1749740</v>
      </c>
      <c r="L34">
        <f>[1]!'NQ.EQNQ.1727303@trade_count'</f>
        <v>0</v>
      </c>
      <c r="M34" t="str">
        <f>[1]!'NQ.EQNQ.1727303@prc_ql_cd'</f>
        <v>CONT</v>
      </c>
      <c r="N34" t="str">
        <f>[1]!'NQ.EQNQ.1727303@trade_time'</f>
        <v>22.00.00</v>
      </c>
    </row>
    <row r="35" spans="1:14" x14ac:dyDescent="0.3">
      <c r="A35" t="str">
        <f>[1]!'NQ.EQNQ.11073@symbol'</f>
        <v>COST</v>
      </c>
      <c r="B35" t="str">
        <f>[1]!'NQ.EQNQ.11073@instrument_name'</f>
        <v>COSTCO WHOLESALE CORPORATION</v>
      </c>
      <c r="C35" t="str">
        <f>[1]!'NQ.EQNQ.11073@exchange_name'</f>
        <v>NASDAQ</v>
      </c>
      <c r="D35">
        <f>[1]!'NQ.EQNQ.11073@last_price'</f>
        <v>355.17</v>
      </c>
      <c r="E35">
        <f>[1]!'NQ.EQNQ.11073@percentage_change'</f>
        <v>-0.19</v>
      </c>
      <c r="F35">
        <f>[1]!'NQ.EQNQ.11073@best_bsiz1'</f>
        <v>100</v>
      </c>
      <c r="G35">
        <f>[1]!'NQ.EQNQ.11073@best_bid1'</f>
        <v>355.25</v>
      </c>
      <c r="H35">
        <f>[1]!'NQ.EQNQ.11073@best_ask1'</f>
        <v>356.08</v>
      </c>
      <c r="I35">
        <f>[1]!'NQ.EQNQ.11073@best_asiz1'</f>
        <v>100</v>
      </c>
      <c r="J35" t="str">
        <f>[1]!'NQ.EQNQ.11073@lst_prctck'</f>
        <v>+ - - - -</v>
      </c>
      <c r="K35">
        <f>[1]!'NQ.EQNQ.11073@trade_volume_bi'</f>
        <v>2082432</v>
      </c>
      <c r="L35">
        <f>[1]!'NQ.EQNQ.11073@trade_count'</f>
        <v>0</v>
      </c>
      <c r="M35" t="str">
        <f>[1]!'NQ.EQNQ.11073@prc_ql_cd'</f>
        <v>CONT</v>
      </c>
      <c r="N35" t="str">
        <f>[1]!'NQ.EQNQ.11073@trade_time'</f>
        <v>22.00.00</v>
      </c>
    </row>
    <row r="36" spans="1:14" x14ac:dyDescent="0.3">
      <c r="A36" t="str">
        <f>[1]!'NQ.EQNQ.8049@symbol'</f>
        <v>CSX</v>
      </c>
      <c r="B36" t="str">
        <f>[1]!'NQ.EQNQ.8049@instrument_name'</f>
        <v>CSX CORPORATION</v>
      </c>
      <c r="C36" t="str">
        <f>[1]!'NQ.EQNQ.8049@exchange_name'</f>
        <v>NASDAQ</v>
      </c>
      <c r="D36">
        <f>[1]!'NQ.EQNQ.8049@last_price'</f>
        <v>88.55</v>
      </c>
      <c r="E36">
        <f>[1]!'NQ.EQNQ.8049@percentage_change'</f>
        <v>0.15</v>
      </c>
      <c r="F36">
        <f>[1]!'NQ.EQNQ.8049@best_bsiz1'</f>
        <v>200</v>
      </c>
      <c r="G36">
        <f>[1]!'NQ.EQNQ.8049@best_bid1'</f>
        <v>88.4</v>
      </c>
      <c r="H36">
        <f>[1]!'NQ.EQNQ.8049@best_ask1'</f>
        <v>89.22</v>
      </c>
      <c r="I36">
        <f>[1]!'NQ.EQNQ.8049@best_asiz1'</f>
        <v>100</v>
      </c>
      <c r="J36" t="str">
        <f>[1]!'NQ.EQNQ.8049@lst_prctck'</f>
        <v>- - + + -</v>
      </c>
      <c r="K36">
        <f>[1]!'NQ.EQNQ.8049@trade_volume_bi'</f>
        <v>3112582</v>
      </c>
      <c r="L36">
        <f>[1]!'NQ.EQNQ.8049@trade_count'</f>
        <v>0</v>
      </c>
      <c r="M36" t="str">
        <f>[1]!'NQ.EQNQ.8049@prc_ql_cd'</f>
        <v>CONT</v>
      </c>
      <c r="N36" t="str">
        <f>[1]!'NQ.EQNQ.8049@trade_time'</f>
        <v>22.00.00</v>
      </c>
    </row>
    <row r="37" spans="1:14" x14ac:dyDescent="0.3">
      <c r="A37" t="str">
        <f>[1]!'NQ.EQNQ.97811@symbol'</f>
        <v>DXCM</v>
      </c>
      <c r="B37" t="str">
        <f>[1]!'NQ.EQNQ.97811@instrument_name'</f>
        <v>DEXCOM</v>
      </c>
      <c r="C37" t="str">
        <f>[1]!'NQ.EQNQ.97811@exchange_name'</f>
        <v>NASDAQ</v>
      </c>
      <c r="D37">
        <f>[1]!'NQ.EQNQ.97811@last_price'</f>
        <v>411.03</v>
      </c>
      <c r="E37">
        <f>[1]!'NQ.EQNQ.97811@percentage_change'</f>
        <v>1.93</v>
      </c>
      <c r="F37">
        <f>[1]!'NQ.EQNQ.97811@best_bsiz1'</f>
        <v>100</v>
      </c>
      <c r="G37">
        <f>[1]!'NQ.EQNQ.97811@best_bid1'</f>
        <v>395.01</v>
      </c>
      <c r="H37">
        <f>[1]!'NQ.EQNQ.97811@best_ask1'</f>
        <v>413</v>
      </c>
      <c r="I37">
        <f>[1]!'NQ.EQNQ.97811@best_asiz1'</f>
        <v>100</v>
      </c>
      <c r="J37" t="str">
        <f>[1]!'NQ.EQNQ.97811@lst_prctck'</f>
        <v>- - - - +</v>
      </c>
      <c r="K37">
        <f>[1]!'NQ.EQNQ.97811@trade_volume_bi'</f>
        <v>558598</v>
      </c>
      <c r="L37">
        <f>[1]!'NQ.EQNQ.97811@trade_count'</f>
        <v>0</v>
      </c>
      <c r="M37" t="str">
        <f>[1]!'NQ.EQNQ.97811@prc_ql_cd'</f>
        <v>CONT</v>
      </c>
      <c r="N37" t="str">
        <f>[1]!'NQ.EQNQ.97811@trade_time'</f>
        <v>22.00.00</v>
      </c>
    </row>
    <row r="38" spans="1:14" x14ac:dyDescent="0.3">
      <c r="A38" t="str">
        <f>[1]!'NQ.EQNQ.1873756@symbol'</f>
        <v>DOCU</v>
      </c>
      <c r="B38" t="str">
        <f>[1]!'NQ.EQNQ.1873756@instrument_name'</f>
        <v>DOCUSIGN RG REGISTERED SHS</v>
      </c>
      <c r="C38" t="str">
        <f>[1]!'NQ.EQNQ.1873756@exchange_name'</f>
        <v>NASDAQ</v>
      </c>
      <c r="D38">
        <f>[1]!'NQ.EQNQ.1873756@last_price'</f>
        <v>250.37</v>
      </c>
      <c r="E38">
        <f>[1]!'NQ.EQNQ.1873756@percentage_change'</f>
        <v>1.77</v>
      </c>
      <c r="F38">
        <f>[1]!'NQ.EQNQ.1873756@best_bsiz1'</f>
        <v>200</v>
      </c>
      <c r="G38">
        <f>[1]!'NQ.EQNQ.1873756@best_bid1'</f>
        <v>250.01</v>
      </c>
      <c r="H38">
        <f>[1]!'NQ.EQNQ.1873756@best_ask1'</f>
        <v>250.3</v>
      </c>
      <c r="I38">
        <f>[1]!'NQ.EQNQ.1873756@best_asiz1'</f>
        <v>100</v>
      </c>
      <c r="J38" t="str">
        <f>[1]!'NQ.EQNQ.1873756@lst_prctck'</f>
        <v>- - - - +</v>
      </c>
      <c r="K38">
        <f>[1]!'NQ.EQNQ.1873756@trade_volume_bi'</f>
        <v>2545387</v>
      </c>
      <c r="L38">
        <f>[1]!'NQ.EQNQ.1873756@trade_count'</f>
        <v>0</v>
      </c>
      <c r="M38" t="str">
        <f>[1]!'NQ.EQNQ.1873756@prc_ql_cd'</f>
        <v>CONT</v>
      </c>
      <c r="N38" t="str">
        <f>[1]!'NQ.EQNQ.1873756@trade_time'</f>
        <v>22.00.00</v>
      </c>
    </row>
    <row r="39" spans="1:14" x14ac:dyDescent="0.3">
      <c r="A39" t="str">
        <f>[1]!'NQ.EQNQ.172335@symbol'</f>
        <v>DLTR</v>
      </c>
      <c r="B39" t="str">
        <f>[1]!'NQ.EQNQ.172335@instrument_name'</f>
        <v>DOLLAR TREE INC USD</v>
      </c>
      <c r="C39" t="str">
        <f>[1]!'NQ.EQNQ.172335@exchange_name'</f>
        <v>NASDAQ</v>
      </c>
      <c r="D39">
        <f>[1]!'NQ.EQNQ.172335@last_price'</f>
        <v>105.645</v>
      </c>
      <c r="E39">
        <f>[1]!'NQ.EQNQ.172335@percentage_change'</f>
        <v>-0.47</v>
      </c>
      <c r="F39">
        <f>[1]!'NQ.EQNQ.172335@best_bsiz1'</f>
        <v>100</v>
      </c>
      <c r="G39">
        <f>[1]!'NQ.EQNQ.172335@best_bid1'</f>
        <v>105.18</v>
      </c>
      <c r="H39">
        <f>[1]!'NQ.EQNQ.172335@best_ask1'</f>
        <v>105.8</v>
      </c>
      <c r="I39">
        <f>[1]!'NQ.EQNQ.172335@best_asiz1'</f>
        <v>500</v>
      </c>
      <c r="J39" t="str">
        <f>[1]!'NQ.EQNQ.172335@lst_prctck'</f>
        <v>- + + + +</v>
      </c>
      <c r="K39">
        <f>[1]!'NQ.EQNQ.172335@trade_volume_bi'</f>
        <v>1611644</v>
      </c>
      <c r="L39">
        <f>[1]!'NQ.EQNQ.172335@trade_count'</f>
        <v>0</v>
      </c>
      <c r="M39" t="str">
        <f>[1]!'NQ.EQNQ.172335@prc_ql_cd'</f>
        <v>CONT</v>
      </c>
      <c r="N39" t="str">
        <f>[1]!'NQ.EQNQ.172335@trade_time'</f>
        <v>22.00.00</v>
      </c>
    </row>
    <row r="40" spans="1:14" x14ac:dyDescent="0.3">
      <c r="A40" t="str">
        <f>[1]!'NQ.EQNQ.1354@symbol'</f>
        <v>EBAY</v>
      </c>
      <c r="B40" t="str">
        <f>[1]!'NQ.EQNQ.1354@instrument_name'</f>
        <v>EBAY INC.</v>
      </c>
      <c r="C40" t="str">
        <f>[1]!'NQ.EQNQ.1354@exchange_name'</f>
        <v>NASDAQ</v>
      </c>
      <c r="D40">
        <f>[1]!'NQ.EQNQ.1354@last_price'</f>
        <v>62.23</v>
      </c>
      <c r="E40">
        <f>[1]!'NQ.EQNQ.1354@percentage_change'</f>
        <v>1.82</v>
      </c>
      <c r="F40">
        <f>[1]!'NQ.EQNQ.1354@best_bsiz1'</f>
        <v>700</v>
      </c>
      <c r="G40">
        <f>[1]!'NQ.EQNQ.1354@best_bid1'</f>
        <v>62.3</v>
      </c>
      <c r="H40">
        <f>[1]!'NQ.EQNQ.1354@best_ask1'</f>
        <v>62.38</v>
      </c>
      <c r="I40">
        <f>[1]!'NQ.EQNQ.1354@best_asiz1'</f>
        <v>500</v>
      </c>
      <c r="J40" t="str">
        <f>[1]!'NQ.EQNQ.1354@lst_prctck'</f>
        <v>- - + - -</v>
      </c>
      <c r="K40">
        <f>[1]!'NQ.EQNQ.1354@trade_volume_bi'</f>
        <v>12682785</v>
      </c>
      <c r="L40">
        <f>[1]!'NQ.EQNQ.1354@trade_count'</f>
        <v>0</v>
      </c>
      <c r="M40" t="str">
        <f>[1]!'NQ.EQNQ.1354@prc_ql_cd'</f>
        <v>CONT</v>
      </c>
      <c r="N40" t="str">
        <f>[1]!'NQ.EQNQ.1354@trade_time'</f>
        <v>22.00.01</v>
      </c>
    </row>
    <row r="41" spans="1:14" x14ac:dyDescent="0.3">
      <c r="A41" t="str">
        <f>[1]!'NQ.EQNQ.3750@symbol'</f>
        <v>EA</v>
      </c>
      <c r="B41" t="str">
        <f>[1]!'NQ.EQNQ.3750@instrument_name'</f>
        <v>ELECTRONIC ARTS INC</v>
      </c>
      <c r="C41" t="str">
        <f>[1]!'NQ.EQNQ.3750@exchange_name'</f>
        <v>NASDAQ</v>
      </c>
      <c r="D41">
        <f>[1]!'NQ.EQNQ.3750@last_price'</f>
        <v>141.22</v>
      </c>
      <c r="E41">
        <f>[1]!'NQ.EQNQ.3750@percentage_change'</f>
        <v>1.87</v>
      </c>
      <c r="F41">
        <f>[1]!'NQ.EQNQ.3750@best_bsiz1'</f>
        <v>200</v>
      </c>
      <c r="G41">
        <f>[1]!'NQ.EQNQ.3750@best_bid1'</f>
        <v>139.62</v>
      </c>
      <c r="H41">
        <f>[1]!'NQ.EQNQ.3750@best_ask1'</f>
        <v>141.79</v>
      </c>
      <c r="I41">
        <f>[1]!'NQ.EQNQ.3750@best_asiz1'</f>
        <v>100</v>
      </c>
      <c r="J41" t="str">
        <f>[1]!'NQ.EQNQ.3750@lst_prctck'</f>
        <v>+ - + - +</v>
      </c>
      <c r="K41">
        <f>[1]!'NQ.EQNQ.3750@trade_volume_bi'</f>
        <v>3792852</v>
      </c>
      <c r="L41">
        <f>[1]!'NQ.EQNQ.3750@trade_count'</f>
        <v>0</v>
      </c>
      <c r="M41" t="str">
        <f>[1]!'NQ.EQNQ.3750@prc_ql_cd'</f>
        <v>CONT</v>
      </c>
      <c r="N41" t="str">
        <f>[1]!'NQ.EQNQ.3750@trade_time'</f>
        <v>22.00.00</v>
      </c>
    </row>
    <row r="42" spans="1:14" x14ac:dyDescent="0.3">
      <c r="A42" t="str">
        <f>[1]!'NQ.EQNQ.28341@symbol'</f>
        <v>EXC</v>
      </c>
      <c r="B42" t="str">
        <f>[1]!'NQ.EQNQ.28341@instrument_name'</f>
        <v>EXELON CORPORATION AZIONI ORDINA</v>
      </c>
      <c r="C42" t="str">
        <f>[1]!'NQ.EQNQ.28341@exchange_name'</f>
        <v>NASDAQ</v>
      </c>
      <c r="D42">
        <f>[1]!'NQ.EQNQ.28341@last_price'</f>
        <v>43.68</v>
      </c>
      <c r="E42">
        <f>[1]!'NQ.EQNQ.28341@percentage_change'</f>
        <v>0.02</v>
      </c>
      <c r="F42">
        <f>[1]!'NQ.EQNQ.28341@best_bsiz1'</f>
        <v>600</v>
      </c>
      <c r="G42">
        <f>[1]!'NQ.EQNQ.28341@best_bid1'</f>
        <v>43.39</v>
      </c>
      <c r="H42">
        <f>[1]!'NQ.EQNQ.28341@best_ask1'</f>
        <v>43.97</v>
      </c>
      <c r="I42">
        <f>[1]!'NQ.EQNQ.28341@best_asiz1'</f>
        <v>600</v>
      </c>
      <c r="J42" t="str">
        <f>[1]!'NQ.EQNQ.28341@lst_prctck'</f>
        <v>- - - - -</v>
      </c>
      <c r="K42">
        <f>[1]!'NQ.EQNQ.28341@trade_volume_bi'</f>
        <v>3966074</v>
      </c>
      <c r="L42">
        <f>[1]!'NQ.EQNQ.28341@trade_count'</f>
        <v>0</v>
      </c>
      <c r="M42" t="str">
        <f>[1]!'NQ.EQNQ.28341@prc_ql_cd'</f>
        <v>CONT</v>
      </c>
      <c r="N42" t="str">
        <f>[1]!'NQ.EQNQ.28341@trade_time'</f>
        <v>22.00.00</v>
      </c>
    </row>
    <row r="43" spans="1:14" x14ac:dyDescent="0.3">
      <c r="A43" t="str">
        <f>[1]!'NQ.EQNQ.696989@symbol'</f>
        <v>FB</v>
      </c>
      <c r="B43" t="str">
        <f>[1]!'NQ.EQNQ.696989@instrument_name'</f>
        <v>FACEBOOK-ORD SHS CL A-USD</v>
      </c>
      <c r="C43" t="str">
        <f>[1]!'NQ.EQNQ.696989@exchange_name'</f>
        <v>NASDAQ</v>
      </c>
      <c r="D43">
        <f>[1]!'NQ.EQNQ.696989@last_price'</f>
        <v>268.10000000000002</v>
      </c>
      <c r="E43">
        <f>[1]!'NQ.EQNQ.696989@percentage_change'</f>
        <v>0.6</v>
      </c>
      <c r="F43">
        <f>[1]!'NQ.EQNQ.696989@best_bsiz1'</f>
        <v>100</v>
      </c>
      <c r="G43">
        <f>[1]!'NQ.EQNQ.696989@best_bid1'</f>
        <v>267.83</v>
      </c>
      <c r="H43">
        <f>[1]!'NQ.EQNQ.696989@best_ask1'</f>
        <v>268.10000000000002</v>
      </c>
      <c r="I43">
        <f>[1]!'NQ.EQNQ.696989@best_asiz1'</f>
        <v>400</v>
      </c>
      <c r="J43" t="str">
        <f>[1]!'NQ.EQNQ.696989@lst_prctck'</f>
        <v>- - - + +</v>
      </c>
      <c r="K43">
        <f>[1]!'NQ.EQNQ.696989@trade_volume_bi'</f>
        <v>12110956</v>
      </c>
      <c r="L43">
        <f>[1]!'NQ.EQNQ.696989@trade_count'</f>
        <v>0</v>
      </c>
      <c r="M43" t="str">
        <f>[1]!'NQ.EQNQ.696989@prc_ql_cd'</f>
        <v>CONT</v>
      </c>
      <c r="N43" t="str">
        <f>[1]!'NQ.EQNQ.696989@trade_time'</f>
        <v>22.00.00</v>
      </c>
    </row>
    <row r="44" spans="1:14" x14ac:dyDescent="0.3">
      <c r="A44" t="str">
        <f>[1]!'NQ.EQNQ.3489@symbol'</f>
        <v>FAST</v>
      </c>
      <c r="B44" t="str">
        <f>[1]!'NQ.EQNQ.3489@instrument_name'</f>
        <v>FASTENAL</v>
      </c>
      <c r="C44" t="str">
        <f>[1]!'NQ.EQNQ.3489@exchange_name'</f>
        <v>NASDAQ</v>
      </c>
      <c r="D44">
        <f>[1]!'NQ.EQNQ.3489@last_price'</f>
        <v>47.3</v>
      </c>
      <c r="E44">
        <f>[1]!'NQ.EQNQ.3489@percentage_change'</f>
        <v>0.38</v>
      </c>
      <c r="F44">
        <f>[1]!'NQ.EQNQ.3489@best_bsiz1'</f>
        <v>600</v>
      </c>
      <c r="G44">
        <f>[1]!'NQ.EQNQ.3489@best_bid1'</f>
        <v>46.64</v>
      </c>
      <c r="H44">
        <f>[1]!'NQ.EQNQ.3489@best_ask1'</f>
        <v>47.65</v>
      </c>
      <c r="I44">
        <f>[1]!'NQ.EQNQ.3489@best_asiz1'</f>
        <v>600</v>
      </c>
      <c r="J44" t="str">
        <f>[1]!'NQ.EQNQ.3489@lst_prctck'</f>
        <v>- + + + -</v>
      </c>
      <c r="K44">
        <f>[1]!'NQ.EQNQ.3489@trade_volume_bi'</f>
        <v>2458334</v>
      </c>
      <c r="L44">
        <f>[1]!'NQ.EQNQ.3489@trade_count'</f>
        <v>0</v>
      </c>
      <c r="M44" t="str">
        <f>[1]!'NQ.EQNQ.3489@prc_ql_cd'</f>
        <v>CONT</v>
      </c>
      <c r="N44" t="str">
        <f>[1]!'NQ.EQNQ.3489@trade_time'</f>
        <v>22.00.00</v>
      </c>
    </row>
    <row r="45" spans="1:14" x14ac:dyDescent="0.3">
      <c r="A45" t="str">
        <f>[1]!'NQ.EQNQ.11414@symbol'</f>
        <v>FISV</v>
      </c>
      <c r="B45" t="str">
        <f>[1]!'NQ.EQNQ.11414@instrument_name'</f>
        <v>FISERV INC</v>
      </c>
      <c r="C45" t="str">
        <f>[1]!'NQ.EQNQ.11414@exchange_name'</f>
        <v>NASDAQ</v>
      </c>
      <c r="D45">
        <f>[1]!'NQ.EQNQ.11414@last_price'</f>
        <v>112.22</v>
      </c>
      <c r="E45">
        <f>[1]!'NQ.EQNQ.11414@percentage_change'</f>
        <v>-0.02</v>
      </c>
      <c r="F45">
        <f>[1]!'NQ.EQNQ.11414@best_bsiz1'</f>
        <v>200</v>
      </c>
      <c r="G45">
        <f>[1]!'NQ.EQNQ.11414@best_bid1'</f>
        <v>112.13</v>
      </c>
      <c r="H45">
        <f>[1]!'NQ.EQNQ.11414@best_ask1'</f>
        <v>112.87</v>
      </c>
      <c r="I45">
        <f>[1]!'NQ.EQNQ.11414@best_asiz1'</f>
        <v>200</v>
      </c>
      <c r="J45" t="str">
        <f>[1]!'NQ.EQNQ.11414@lst_prctck'</f>
        <v>- - - - +</v>
      </c>
      <c r="K45">
        <f>[1]!'NQ.EQNQ.11414@trade_volume_bi'</f>
        <v>2540016</v>
      </c>
      <c r="L45">
        <f>[1]!'NQ.EQNQ.11414@trade_count'</f>
        <v>0</v>
      </c>
      <c r="M45" t="str">
        <f>[1]!'NQ.EQNQ.11414@prc_ql_cd'</f>
        <v>CONT</v>
      </c>
      <c r="N45" t="str">
        <f>[1]!'NQ.EQNQ.11414@trade_time'</f>
        <v>22.00.00</v>
      </c>
    </row>
    <row r="46" spans="1:14" x14ac:dyDescent="0.3">
      <c r="A46" t="str">
        <f>[1]!'NQ.EQNQ.1979147@symbol'</f>
        <v>FOXA</v>
      </c>
      <c r="B46" t="str">
        <f>[1]!'NQ.EQNQ.1979147@instrument_name'</f>
        <v>FOX RG-A-WI REGISTERED SHS -A- WHEN ISSUED</v>
      </c>
      <c r="C46" t="str">
        <f>[1]!'NQ.EQNQ.1979147@exchange_name'</f>
        <v>NASDAQ</v>
      </c>
      <c r="D46">
        <f>[1]!'NQ.EQNQ.1979147@last_price'</f>
        <v>31.42</v>
      </c>
      <c r="E46">
        <f>[1]!'NQ.EQNQ.1979147@percentage_change'</f>
        <v>3.29</v>
      </c>
      <c r="F46">
        <f>[1]!'NQ.EQNQ.1979147@best_bsiz1'</f>
        <v>900</v>
      </c>
      <c r="G46">
        <f>[1]!'NQ.EQNQ.1979147@best_bid1'</f>
        <v>31.01</v>
      </c>
      <c r="H46">
        <f>[1]!'NQ.EQNQ.1979147@best_ask1'</f>
        <v>32.14</v>
      </c>
      <c r="I46">
        <f>[1]!'NQ.EQNQ.1979147@best_asiz1'</f>
        <v>900</v>
      </c>
      <c r="J46" t="str">
        <f>[1]!'NQ.EQNQ.1979147@lst_prctck'</f>
        <v>+ + + + -</v>
      </c>
      <c r="K46">
        <f>[1]!'NQ.EQNQ.1979147@trade_volume_bi'</f>
        <v>4640919</v>
      </c>
      <c r="L46">
        <f>[1]!'NQ.EQNQ.1979147@trade_count'</f>
        <v>0</v>
      </c>
      <c r="M46" t="str">
        <f>[1]!'NQ.EQNQ.1979147@prc_ql_cd'</f>
        <v>CONT</v>
      </c>
      <c r="N46" t="str">
        <f>[1]!'NQ.EQNQ.1979147@trade_time'</f>
        <v>22.00.00</v>
      </c>
    </row>
    <row r="47" spans="1:14" x14ac:dyDescent="0.3">
      <c r="A47" t="str">
        <f>[1]!'NQ.EQNQ.1979195@symbol'</f>
        <v>FOX</v>
      </c>
      <c r="B47" t="str">
        <f>[1]!'NQ.EQNQ.1979195@instrument_name'</f>
        <v>FOX RG-B-WI REGISTERED SHS -B- WHEN ISSUED</v>
      </c>
      <c r="C47" t="str">
        <f>[1]!'NQ.EQNQ.1979195@exchange_name'</f>
        <v>NASDAQ</v>
      </c>
      <c r="D47">
        <f>[1]!'NQ.EQNQ.1979195@last_price'</f>
        <v>30.31</v>
      </c>
      <c r="E47">
        <f>[1]!'NQ.EQNQ.1979195@percentage_change'</f>
        <v>3.34</v>
      </c>
      <c r="F47">
        <f>[1]!'NQ.EQNQ.1979195@best_bsiz1'</f>
        <v>900</v>
      </c>
      <c r="G47">
        <f>[1]!'NQ.EQNQ.1979195@best_bid1'</f>
        <v>29.83</v>
      </c>
      <c r="H47">
        <f>[1]!'NQ.EQNQ.1979195@best_ask1'</f>
        <v>30.99</v>
      </c>
      <c r="I47">
        <f>[1]!'NQ.EQNQ.1979195@best_asiz1'</f>
        <v>900</v>
      </c>
      <c r="J47" t="str">
        <f>[1]!'NQ.EQNQ.1979195@lst_prctck'</f>
        <v>- + - + -</v>
      </c>
      <c r="K47">
        <f>[1]!'NQ.EQNQ.1979195@trade_volume_bi'</f>
        <v>1319872</v>
      </c>
      <c r="L47">
        <f>[1]!'NQ.EQNQ.1979195@trade_count'</f>
        <v>0</v>
      </c>
      <c r="M47" t="str">
        <f>[1]!'NQ.EQNQ.1979195@prc_ql_cd'</f>
        <v>CONT</v>
      </c>
      <c r="N47" t="str">
        <f>[1]!'NQ.EQNQ.1979195@trade_time'</f>
        <v>22.00.01</v>
      </c>
    </row>
    <row r="48" spans="1:14" x14ac:dyDescent="0.3">
      <c r="A48" t="str">
        <f>[1]!'NQ.EQNQ.44696@symbol'</f>
        <v>GILD</v>
      </c>
      <c r="B48" t="str">
        <f>[1]!'NQ.EQNQ.44696@instrument_name'</f>
        <v>GILEAD SCIENCES INC</v>
      </c>
      <c r="C48" t="str">
        <f>[1]!'NQ.EQNQ.44696@exchange_name'</f>
        <v>NASDAQ</v>
      </c>
      <c r="D48">
        <f>[1]!'NQ.EQNQ.44696@last_price'</f>
        <v>68.459999999999994</v>
      </c>
      <c r="E48">
        <f>[1]!'NQ.EQNQ.44696@percentage_change'</f>
        <v>4</v>
      </c>
      <c r="F48">
        <f>[1]!'NQ.EQNQ.44696@best_bsiz1'</f>
        <v>300</v>
      </c>
      <c r="G48">
        <f>[1]!'NQ.EQNQ.44696@best_bid1'</f>
        <v>68.34</v>
      </c>
      <c r="H48">
        <f>[1]!'NQ.EQNQ.44696@best_ask1'</f>
        <v>68.489999999999995</v>
      </c>
      <c r="I48">
        <f>[1]!'NQ.EQNQ.44696@best_asiz1'</f>
        <v>500</v>
      </c>
      <c r="J48" t="str">
        <f>[1]!'NQ.EQNQ.44696@lst_prctck'</f>
        <v>- + + - +</v>
      </c>
      <c r="K48">
        <f>[1]!'NQ.EQNQ.44696@trade_volume_bi'</f>
        <v>14967626</v>
      </c>
      <c r="L48">
        <f>[1]!'NQ.EQNQ.44696@trade_count'</f>
        <v>0</v>
      </c>
      <c r="M48" t="str">
        <f>[1]!'NQ.EQNQ.44696@prc_ql_cd'</f>
        <v>CONT</v>
      </c>
      <c r="N48" t="str">
        <f>[1]!'NQ.EQNQ.44696@trade_time'</f>
        <v>22.00.00</v>
      </c>
    </row>
    <row r="49" spans="1:14" x14ac:dyDescent="0.3">
      <c r="A49" t="str">
        <f>[1]!'NQ.EQNQ.11680@symbol'</f>
        <v>IDXX</v>
      </c>
      <c r="B49" t="str">
        <f>[1]!'NQ.EQNQ.11680@instrument_name'</f>
        <v>IDEXX LABS</v>
      </c>
      <c r="C49" t="str">
        <f>[1]!'NQ.EQNQ.11680@exchange_name'</f>
        <v>NASDAQ</v>
      </c>
      <c r="D49">
        <f>[1]!'NQ.EQNQ.11680@last_price'</f>
        <v>502.64</v>
      </c>
      <c r="E49">
        <f>[1]!'NQ.EQNQ.11680@percentage_change'</f>
        <v>1.75</v>
      </c>
      <c r="F49">
        <f>[1]!'NQ.EQNQ.11680@best_bsiz1'</f>
        <v>100</v>
      </c>
      <c r="G49">
        <f>[1]!'NQ.EQNQ.11680@best_bid1'</f>
        <v>498.01</v>
      </c>
      <c r="H49">
        <f>[1]!'NQ.EQNQ.11680@best_ask1'</f>
        <v>508</v>
      </c>
      <c r="I49">
        <f>[1]!'NQ.EQNQ.11680@best_asiz1'</f>
        <v>100</v>
      </c>
      <c r="J49" t="str">
        <f>[1]!'NQ.EQNQ.11680@lst_prctck'</f>
        <v>+ + + - +</v>
      </c>
      <c r="K49">
        <f>[1]!'NQ.EQNQ.11680@trade_volume_bi'</f>
        <v>297793</v>
      </c>
      <c r="L49">
        <f>[1]!'NQ.EQNQ.11680@trade_count'</f>
        <v>0</v>
      </c>
      <c r="M49" t="str">
        <f>[1]!'NQ.EQNQ.11680@prc_ql_cd'</f>
        <v>CONT</v>
      </c>
      <c r="N49" t="str">
        <f>[1]!'NQ.EQNQ.11680@trade_time'</f>
        <v>22.00.00</v>
      </c>
    </row>
    <row r="50" spans="1:14" x14ac:dyDescent="0.3">
      <c r="A50" t="str">
        <f>[1]!'NQ.EQNQ.19566@symbol'</f>
        <v>ILMN</v>
      </c>
      <c r="B50" t="str">
        <f>[1]!'NQ.EQNQ.19566@instrument_name'</f>
        <v>ILLUMINA INC</v>
      </c>
      <c r="C50" t="str">
        <f>[1]!'NQ.EQNQ.19566@exchange_name'</f>
        <v>NASDAQ</v>
      </c>
      <c r="D50">
        <f>[1]!'NQ.EQNQ.19566@last_price'</f>
        <v>428.91</v>
      </c>
      <c r="E50">
        <f>[1]!'NQ.EQNQ.19566@percentage_change'</f>
        <v>0.06</v>
      </c>
      <c r="F50">
        <f>[1]!'NQ.EQNQ.19566@best_bsiz1'</f>
        <v>100</v>
      </c>
      <c r="G50">
        <f>[1]!'NQ.EQNQ.19566@best_bid1'</f>
        <v>420.53</v>
      </c>
      <c r="H50">
        <f>[1]!'NQ.EQNQ.19566@best_ask1'</f>
        <v>434.88</v>
      </c>
      <c r="I50">
        <f>[1]!'NQ.EQNQ.19566@best_asiz1'</f>
        <v>100</v>
      </c>
      <c r="J50" t="str">
        <f>[1]!'NQ.EQNQ.19566@lst_prctck'</f>
        <v>+ - + + +</v>
      </c>
      <c r="K50">
        <f>[1]!'NQ.EQNQ.19566@trade_volume_bi'</f>
        <v>758698</v>
      </c>
      <c r="L50">
        <f>[1]!'NQ.EQNQ.19566@trade_count'</f>
        <v>0</v>
      </c>
      <c r="M50" t="str">
        <f>[1]!'NQ.EQNQ.19566@prc_ql_cd'</f>
        <v>CONT</v>
      </c>
      <c r="N50" t="str">
        <f>[1]!'NQ.EQNQ.19566@trade_time'</f>
        <v>22.00.00</v>
      </c>
    </row>
    <row r="51" spans="1:14" x14ac:dyDescent="0.3">
      <c r="A51" t="str">
        <f>[1]!'NQ.EQNQ.1493@symbol'</f>
        <v>INCY</v>
      </c>
      <c r="B51" t="str">
        <f>[1]!'NQ.EQNQ.1493@instrument_name'</f>
        <v>INCYTE CORP</v>
      </c>
      <c r="C51" t="str">
        <f>[1]!'NQ.EQNQ.1493@exchange_name'</f>
        <v>NASDAQ</v>
      </c>
      <c r="D51">
        <f>[1]!'NQ.EQNQ.1493@last_price'</f>
        <v>90.24</v>
      </c>
      <c r="E51">
        <f>[1]!'NQ.EQNQ.1493@percentage_change'</f>
        <v>-0.74</v>
      </c>
      <c r="F51">
        <f>[1]!'NQ.EQNQ.1493@best_bsiz1'</f>
        <v>100</v>
      </c>
      <c r="G51">
        <f>[1]!'NQ.EQNQ.1493@best_bid1'</f>
        <v>89</v>
      </c>
      <c r="H51">
        <f>[1]!'NQ.EQNQ.1493@best_ask1'</f>
        <v>92.28</v>
      </c>
      <c r="I51">
        <f>[1]!'NQ.EQNQ.1493@best_asiz1'</f>
        <v>100</v>
      </c>
      <c r="J51" t="str">
        <f>[1]!'NQ.EQNQ.1493@lst_prctck'</f>
        <v>- + - - +</v>
      </c>
      <c r="K51">
        <f>[1]!'NQ.EQNQ.1493@trade_volume_bi'</f>
        <v>1233744</v>
      </c>
      <c r="L51">
        <f>[1]!'NQ.EQNQ.1493@trade_count'</f>
        <v>0</v>
      </c>
      <c r="M51" t="str">
        <f>[1]!'NQ.EQNQ.1493@prc_ql_cd'</f>
        <v>CONT</v>
      </c>
      <c r="N51" t="str">
        <f>[1]!'NQ.EQNQ.1493@trade_time'</f>
        <v>22.00.00</v>
      </c>
    </row>
    <row r="52" spans="1:14" x14ac:dyDescent="0.3">
      <c r="A52" t="str">
        <f>[1]!'NQ.EQNQ.392@symbol'</f>
        <v>INTC</v>
      </c>
      <c r="B52" t="str">
        <f>[1]!'NQ.EQNQ.392@instrument_name'</f>
        <v>INTEL CORP.</v>
      </c>
      <c r="C52" t="str">
        <f>[1]!'NQ.EQNQ.392@exchange_name'</f>
        <v>NASDAQ</v>
      </c>
      <c r="D52">
        <f>[1]!'NQ.EQNQ.392@last_price'</f>
        <v>58.18</v>
      </c>
      <c r="E52">
        <f>[1]!'NQ.EQNQ.392@percentage_change'</f>
        <v>-1.04</v>
      </c>
      <c r="F52">
        <f>[1]!'NQ.EQNQ.392@best_bsiz1'</f>
        <v>300</v>
      </c>
      <c r="G52">
        <f>[1]!'NQ.EQNQ.392@best_bid1'</f>
        <v>58.2</v>
      </c>
      <c r="H52">
        <f>[1]!'NQ.EQNQ.392@best_ask1'</f>
        <v>58.27</v>
      </c>
      <c r="I52">
        <f>[1]!'NQ.EQNQ.392@best_asiz1'</f>
        <v>400</v>
      </c>
      <c r="J52" t="str">
        <f>[1]!'NQ.EQNQ.392@lst_prctck'</f>
        <v>+ + - - +</v>
      </c>
      <c r="K52">
        <f>[1]!'NQ.EQNQ.392@trade_volume_bi'</f>
        <v>23371095</v>
      </c>
      <c r="L52">
        <f>[1]!'NQ.EQNQ.392@trade_count'</f>
        <v>0</v>
      </c>
      <c r="M52" t="str">
        <f>[1]!'NQ.EQNQ.392@prc_ql_cd'</f>
        <v>CONT</v>
      </c>
      <c r="N52" t="str">
        <f>[1]!'NQ.EQNQ.392@trade_time'</f>
        <v>22.00.00</v>
      </c>
    </row>
    <row r="53" spans="1:14" x14ac:dyDescent="0.3">
      <c r="A53" t="str">
        <f>[1]!'NQ.EQNQ.1453@symbol'</f>
        <v>INTU</v>
      </c>
      <c r="B53" t="str">
        <f>[1]!'NQ.EQNQ.1453@instrument_name'</f>
        <v>INTUIT INC.</v>
      </c>
      <c r="C53" t="str">
        <f>[1]!'NQ.EQNQ.1453@exchange_name'</f>
        <v>NASDAQ</v>
      </c>
      <c r="D53">
        <f>[1]!'NQ.EQNQ.1453@last_price'</f>
        <v>389.38</v>
      </c>
      <c r="E53">
        <f>[1]!'NQ.EQNQ.1453@percentage_change'</f>
        <v>-0.85</v>
      </c>
      <c r="F53">
        <f>[1]!'NQ.EQNQ.1453@best_bsiz1'</f>
        <v>100</v>
      </c>
      <c r="G53">
        <f>[1]!'NQ.EQNQ.1453@best_bid1'</f>
        <v>383.2</v>
      </c>
      <c r="H53">
        <f>[1]!'NQ.EQNQ.1453@best_ask1'</f>
        <v>390.97</v>
      </c>
      <c r="I53">
        <f>[1]!'NQ.EQNQ.1453@best_asiz1'</f>
        <v>100</v>
      </c>
      <c r="J53" t="str">
        <f>[1]!'NQ.EQNQ.1453@lst_prctck'</f>
        <v>- + - + -</v>
      </c>
      <c r="K53">
        <f>[1]!'NQ.EQNQ.1453@trade_volume_bi'</f>
        <v>866526</v>
      </c>
      <c r="L53">
        <f>[1]!'NQ.EQNQ.1453@trade_count'</f>
        <v>0</v>
      </c>
      <c r="M53" t="str">
        <f>[1]!'NQ.EQNQ.1453@prc_ql_cd'</f>
        <v>CONT</v>
      </c>
      <c r="N53" t="str">
        <f>[1]!'NQ.EQNQ.1453@trade_time'</f>
        <v>22.00.00</v>
      </c>
    </row>
    <row r="54" spans="1:14" x14ac:dyDescent="0.3">
      <c r="A54" t="str">
        <f>[1]!'NQ.EQNQ.66846@symbol'</f>
        <v>ISRG</v>
      </c>
      <c r="B54" t="str">
        <f>[1]!'NQ.EQNQ.66846@instrument_name'</f>
        <v>INTUITIVE SURGICAL</v>
      </c>
      <c r="C54" t="str">
        <f>[1]!'NQ.EQNQ.66846@exchange_name'</f>
        <v>NASDAQ</v>
      </c>
      <c r="D54">
        <f>[1]!'NQ.EQNQ.66846@last_price'</f>
        <v>762.25</v>
      </c>
      <c r="E54">
        <f>[1]!'NQ.EQNQ.66846@percentage_change'</f>
        <v>0.69</v>
      </c>
      <c r="F54">
        <f>[1]!'NQ.EQNQ.66846@best_bsiz1'</f>
        <v>100</v>
      </c>
      <c r="G54">
        <f>[1]!'NQ.EQNQ.66846@best_bid1'</f>
        <v>755.55</v>
      </c>
      <c r="H54">
        <f>[1]!'NQ.EQNQ.66846@best_ask1'</f>
        <v>762.25</v>
      </c>
      <c r="I54">
        <f>[1]!'NQ.EQNQ.66846@best_asiz1'</f>
        <v>200</v>
      </c>
      <c r="J54" t="str">
        <f>[1]!'NQ.EQNQ.66846@lst_prctck'</f>
        <v>+ - - + -</v>
      </c>
      <c r="K54">
        <f>[1]!'NQ.EQNQ.66846@trade_volume_bi'</f>
        <v>429523</v>
      </c>
      <c r="L54">
        <f>[1]!'NQ.EQNQ.66846@trade_count'</f>
        <v>0</v>
      </c>
      <c r="M54" t="str">
        <f>[1]!'NQ.EQNQ.66846@prc_ql_cd'</f>
        <v>CONT</v>
      </c>
      <c r="N54" t="str">
        <f>[1]!'NQ.EQNQ.66846@trade_time'</f>
        <v>22.00.01</v>
      </c>
    </row>
    <row r="55" spans="1:14" x14ac:dyDescent="0.3">
      <c r="A55" t="str">
        <f>[1]!'NQ.EQNQ.868549@symbol'</f>
        <v>JD</v>
      </c>
      <c r="B55" t="str">
        <f>[1]!'NQ.EQNQ.868549@instrument_name'</f>
        <v>JD.COM-ADS ON ORD SHS</v>
      </c>
      <c r="C55" t="str">
        <f>[1]!'NQ.EQNQ.868549@exchange_name'</f>
        <v>NASDAQ</v>
      </c>
      <c r="D55">
        <f>[1]!'NQ.EQNQ.868549@last_price'</f>
        <v>96.64</v>
      </c>
      <c r="E55">
        <f>[1]!'NQ.EQNQ.868549@percentage_change'</f>
        <v>2.12</v>
      </c>
      <c r="F55">
        <f>[1]!'NQ.EQNQ.868549@best_bsiz1'</f>
        <v>100</v>
      </c>
      <c r="G55">
        <f>[1]!'NQ.EQNQ.868549@best_bid1'</f>
        <v>96.25</v>
      </c>
      <c r="H55">
        <f>[1]!'NQ.EQNQ.868549@best_ask1'</f>
        <v>96.55</v>
      </c>
      <c r="I55">
        <f>[1]!'NQ.EQNQ.868549@best_asiz1'</f>
        <v>300</v>
      </c>
      <c r="J55" t="str">
        <f>[1]!'NQ.EQNQ.868549@lst_prctck'</f>
        <v>+ - - - -</v>
      </c>
      <c r="K55">
        <f>[1]!'NQ.EQNQ.868549@trade_volume_bi'</f>
        <v>5803867</v>
      </c>
      <c r="L55">
        <f>[1]!'NQ.EQNQ.868549@trade_count'</f>
        <v>0</v>
      </c>
      <c r="M55" t="str">
        <f>[1]!'NQ.EQNQ.868549@prc_ql_cd'</f>
        <v>CONT</v>
      </c>
      <c r="N55" t="str">
        <f>[1]!'NQ.EQNQ.868549@trade_time'</f>
        <v>22.00.00</v>
      </c>
    </row>
    <row r="56" spans="1:14" x14ac:dyDescent="0.3">
      <c r="A56" t="str">
        <f>[1]!'NQ.EQNQ.1892917@symbol'</f>
        <v>KDP</v>
      </c>
      <c r="B56" t="str">
        <f>[1]!'NQ.EQNQ.1892917@instrument_name'</f>
        <v>KEURIG DR PEPPER RG REGISTERED SHS</v>
      </c>
      <c r="C56" t="str">
        <f>[1]!'NQ.EQNQ.1892917@exchange_name'</f>
        <v>NASDAQ</v>
      </c>
      <c r="D56">
        <f>[1]!'NQ.EQNQ.1892917@last_price'</f>
        <v>32.53</v>
      </c>
      <c r="E56">
        <f>[1]!'NQ.EQNQ.1892917@percentage_change'</f>
        <v>0.71</v>
      </c>
      <c r="F56">
        <f>[1]!'NQ.EQNQ.1892917@best_bsiz1'</f>
        <v>900</v>
      </c>
      <c r="G56">
        <f>[1]!'NQ.EQNQ.1892917@best_bid1'</f>
        <v>31.14</v>
      </c>
      <c r="H56">
        <f>[1]!'NQ.EQNQ.1892917@best_ask1'</f>
        <v>32.99</v>
      </c>
      <c r="I56">
        <f>[1]!'NQ.EQNQ.1892917@best_asiz1'</f>
        <v>900</v>
      </c>
      <c r="J56" t="str">
        <f>[1]!'NQ.EQNQ.1892917@lst_prctck'</f>
        <v>- + + - +</v>
      </c>
      <c r="K56">
        <f>[1]!'NQ.EQNQ.1892917@trade_volume_bi'</f>
        <v>3542173</v>
      </c>
      <c r="L56">
        <f>[1]!'NQ.EQNQ.1892917@trade_count'</f>
        <v>0</v>
      </c>
      <c r="M56" t="str">
        <f>[1]!'NQ.EQNQ.1892917@prc_ql_cd'</f>
        <v>CONT</v>
      </c>
      <c r="N56" t="str">
        <f>[1]!'NQ.EQNQ.1892917@trade_time'</f>
        <v>22.00.01</v>
      </c>
    </row>
    <row r="57" spans="1:14" x14ac:dyDescent="0.3">
      <c r="A57" t="str">
        <f>[1]!'NQ.EQNQ.1186@symbol'</f>
        <v>KLAC</v>
      </c>
      <c r="B57" t="str">
        <f>[1]!'NQ.EQNQ.1186@instrument_name'</f>
        <v>KLA-TENCOR CORPORATION</v>
      </c>
      <c r="C57" t="str">
        <f>[1]!'NQ.EQNQ.1186@exchange_name'</f>
        <v>NASDAQ</v>
      </c>
      <c r="D57">
        <f>[1]!'NQ.EQNQ.1186@last_price'</f>
        <v>288.02999999999997</v>
      </c>
      <c r="E57">
        <f>[1]!'NQ.EQNQ.1186@percentage_change'</f>
        <v>-2.11</v>
      </c>
      <c r="F57">
        <f>[1]!'NQ.EQNQ.1186@best_bsiz1'</f>
        <v>100</v>
      </c>
      <c r="G57">
        <f>[1]!'NQ.EQNQ.1186@best_bid1'</f>
        <v>288</v>
      </c>
      <c r="H57">
        <f>[1]!'NQ.EQNQ.1186@best_ask1'</f>
        <v>292.49</v>
      </c>
      <c r="I57">
        <f>[1]!'NQ.EQNQ.1186@best_asiz1'</f>
        <v>100</v>
      </c>
      <c r="J57" t="str">
        <f>[1]!'NQ.EQNQ.1186@lst_prctck'</f>
        <v>- - + + -</v>
      </c>
      <c r="K57">
        <f>[1]!'NQ.EQNQ.1186@trade_volume_bi'</f>
        <v>808143</v>
      </c>
      <c r="L57">
        <f>[1]!'NQ.EQNQ.1186@trade_count'</f>
        <v>0</v>
      </c>
      <c r="M57" t="str">
        <f>[1]!'NQ.EQNQ.1186@prc_ql_cd'</f>
        <v>CONT</v>
      </c>
      <c r="N57" t="str">
        <f>[1]!'NQ.EQNQ.1186@trade_time'</f>
        <v>22.00.00</v>
      </c>
    </row>
    <row r="58" spans="1:14" x14ac:dyDescent="0.3">
      <c r="A58" t="str">
        <f>[1]!'NQ.EQNQ.615@symbol'</f>
        <v>LRCX</v>
      </c>
      <c r="B58" t="str">
        <f>[1]!'NQ.EQNQ.615@instrument_name'</f>
        <v>LAM RESEARCH CORP.</v>
      </c>
      <c r="C58" t="str">
        <f>[1]!'NQ.EQNQ.615@exchange_name'</f>
        <v>NASDAQ</v>
      </c>
      <c r="D58">
        <f>[1]!'NQ.EQNQ.615@last_price'</f>
        <v>509.76</v>
      </c>
      <c r="E58">
        <f>[1]!'NQ.EQNQ.615@percentage_change'</f>
        <v>-1.88</v>
      </c>
      <c r="F58">
        <f>[1]!'NQ.EQNQ.615@best_bsiz1'</f>
        <v>100</v>
      </c>
      <c r="G58">
        <f>[1]!'NQ.EQNQ.615@best_bid1'</f>
        <v>509.01</v>
      </c>
      <c r="H58">
        <f>[1]!'NQ.EQNQ.615@best_ask1'</f>
        <v>514.98</v>
      </c>
      <c r="I58">
        <f>[1]!'NQ.EQNQ.615@best_asiz1'</f>
        <v>100</v>
      </c>
      <c r="J58" t="str">
        <f>[1]!'NQ.EQNQ.615@lst_prctck'</f>
        <v>+ + + - -</v>
      </c>
      <c r="K58">
        <f>[1]!'NQ.EQNQ.615@trade_volume_bi'</f>
        <v>1232134</v>
      </c>
      <c r="L58">
        <f>[1]!'NQ.EQNQ.615@trade_count'</f>
        <v>0</v>
      </c>
      <c r="M58" t="str">
        <f>[1]!'NQ.EQNQ.615@prc_ql_cd'</f>
        <v>CONT</v>
      </c>
      <c r="N58" t="str">
        <f>[1]!'NQ.EQNQ.615@trade_time'</f>
        <v>22.00.00</v>
      </c>
    </row>
    <row r="59" spans="1:14" x14ac:dyDescent="0.3">
      <c r="A59" t="str">
        <f>[1]!'NQ.EQNQ.136686@symbol'</f>
        <v>LULU</v>
      </c>
      <c r="B59" t="str">
        <f>[1]!'NQ.EQNQ.136686@instrument_name'</f>
        <v>LULULEMON ATHLETICA ORD</v>
      </c>
      <c r="C59" t="str">
        <f>[1]!'NQ.EQNQ.136686@exchange_name'</f>
        <v>NASDAQ</v>
      </c>
      <c r="D59">
        <f>[1]!'NQ.EQNQ.136686@last_price'</f>
        <v>334.08</v>
      </c>
      <c r="E59">
        <f>[1]!'NQ.EQNQ.136686@percentage_change'</f>
        <v>-1.33</v>
      </c>
      <c r="F59">
        <f>[1]!'NQ.EQNQ.136686@best_bsiz1'</f>
        <v>100</v>
      </c>
      <c r="G59">
        <f>[1]!'NQ.EQNQ.136686@best_bid1'</f>
        <v>334</v>
      </c>
      <c r="H59">
        <f>[1]!'NQ.EQNQ.136686@best_ask1'</f>
        <v>334.46</v>
      </c>
      <c r="I59">
        <f>[1]!'NQ.EQNQ.136686@best_asiz1'</f>
        <v>200</v>
      </c>
      <c r="J59" t="str">
        <f>[1]!'NQ.EQNQ.136686@lst_prctck'</f>
        <v>+ + - + -</v>
      </c>
      <c r="K59">
        <f>[1]!'NQ.EQNQ.136686@trade_volume_bi'</f>
        <v>1222206</v>
      </c>
      <c r="L59">
        <f>[1]!'NQ.EQNQ.136686@trade_count'</f>
        <v>0</v>
      </c>
      <c r="M59" t="str">
        <f>[1]!'NQ.EQNQ.136686@prc_ql_cd'</f>
        <v>CONT</v>
      </c>
      <c r="N59" t="str">
        <f>[1]!'NQ.EQNQ.136686@trade_time'</f>
        <v>22.00.01</v>
      </c>
    </row>
    <row r="60" spans="1:14" x14ac:dyDescent="0.3">
      <c r="A60" t="str">
        <f>[1]!'NQ.EQNQ.9160@symbol'</f>
        <v>MAR</v>
      </c>
      <c r="B60" t="str">
        <f>[1]!'NQ.EQNQ.9160@instrument_name'</f>
        <v>MARRIOTT INTL-A</v>
      </c>
      <c r="C60" t="str">
        <f>[1]!'NQ.EQNQ.9160@exchange_name'</f>
        <v>NASDAQ</v>
      </c>
      <c r="D60">
        <f>[1]!'NQ.EQNQ.9160@last_price'</f>
        <v>129.47999999999999</v>
      </c>
      <c r="E60">
        <f>[1]!'NQ.EQNQ.9160@percentage_change'</f>
        <v>3.21</v>
      </c>
      <c r="F60">
        <f>[1]!'NQ.EQNQ.9160@best_bsiz1'</f>
        <v>200</v>
      </c>
      <c r="G60">
        <f>[1]!'NQ.EQNQ.9160@best_bid1'</f>
        <v>129.47999999999999</v>
      </c>
      <c r="H60">
        <f>[1]!'NQ.EQNQ.9160@best_ask1'</f>
        <v>129.5</v>
      </c>
      <c r="I60">
        <f>[1]!'NQ.EQNQ.9160@best_asiz1'</f>
        <v>100</v>
      </c>
      <c r="J60" t="str">
        <f>[1]!'NQ.EQNQ.9160@lst_prctck'</f>
        <v>- - + - +</v>
      </c>
      <c r="K60">
        <f>[1]!'NQ.EQNQ.9160@trade_volume_bi'</f>
        <v>2653786</v>
      </c>
      <c r="L60">
        <f>[1]!'NQ.EQNQ.9160@trade_count'</f>
        <v>0</v>
      </c>
      <c r="M60" t="str">
        <f>[1]!'NQ.EQNQ.9160@prc_ql_cd'</f>
        <v>CONT</v>
      </c>
      <c r="N60" t="str">
        <f>[1]!'NQ.EQNQ.9160@trade_time'</f>
        <v>22.00.00</v>
      </c>
    </row>
    <row r="61" spans="1:14" x14ac:dyDescent="0.3">
      <c r="A61" t="str">
        <f>[1]!'NQ.EQNQ.15519@symbol'</f>
        <v>MRVL</v>
      </c>
      <c r="B61" t="str">
        <f>[1]!'NQ.EQNQ.15519@instrument_name'</f>
        <v>MARVELL TECHNOLOGY GROUP LTD</v>
      </c>
      <c r="C61" t="str">
        <f>[1]!'NQ.EQNQ.15519@exchange_name'</f>
        <v>NASDAQ</v>
      </c>
      <c r="D61">
        <f>[1]!'NQ.EQNQ.15519@last_price'</f>
        <v>50.05</v>
      </c>
      <c r="E61">
        <f>[1]!'NQ.EQNQ.15519@percentage_change'</f>
        <v>-0.5</v>
      </c>
      <c r="F61">
        <f>[1]!'NQ.EQNQ.15519@best_bsiz1'</f>
        <v>100</v>
      </c>
      <c r="G61">
        <f>[1]!'NQ.EQNQ.15519@best_bid1'</f>
        <v>50.02</v>
      </c>
      <c r="H61">
        <f>[1]!'NQ.EQNQ.15519@best_ask1'</f>
        <v>50.15</v>
      </c>
      <c r="I61">
        <f>[1]!'NQ.EQNQ.15519@best_asiz1'</f>
        <v>100</v>
      </c>
      <c r="J61" t="str">
        <f>[1]!'NQ.EQNQ.15519@lst_prctck'</f>
        <v>+ - + + +</v>
      </c>
      <c r="K61">
        <f>[1]!'NQ.EQNQ.15519@trade_volume_bi'</f>
        <v>9290608</v>
      </c>
      <c r="L61">
        <f>[1]!'NQ.EQNQ.15519@trade_count'</f>
        <v>0</v>
      </c>
      <c r="M61" t="str">
        <f>[1]!'NQ.EQNQ.15519@prc_ql_cd'</f>
        <v>CONT</v>
      </c>
      <c r="N61" t="str">
        <f>[1]!'NQ.EQNQ.15519@trade_time'</f>
        <v>22.00.00</v>
      </c>
    </row>
    <row r="62" spans="1:14" x14ac:dyDescent="0.3">
      <c r="A62" t="str">
        <f>[1]!'NQ.EQNQ.2225620@symbol'</f>
        <v>MTCH</v>
      </c>
      <c r="B62" t="str">
        <f>[1]!'NQ.EQNQ.2225620@instrument_name'</f>
        <v>MATCH GROUP RG REGISTERED SHS</v>
      </c>
      <c r="C62" t="str">
        <f>[1]!'NQ.EQNQ.2225620@exchange_name'</f>
        <v>NASDAQ</v>
      </c>
      <c r="D62">
        <f>[1]!'NQ.EQNQ.2225620@last_price'</f>
        <v>159.82</v>
      </c>
      <c r="E62">
        <f>[1]!'NQ.EQNQ.2225620@percentage_change'</f>
        <v>6.1</v>
      </c>
      <c r="F62">
        <f>[1]!'NQ.EQNQ.2225620@best_bsiz1'</f>
        <v>500</v>
      </c>
      <c r="G62">
        <f>[1]!'NQ.EQNQ.2225620@best_bid1'</f>
        <v>159.47</v>
      </c>
      <c r="H62">
        <f>[1]!'NQ.EQNQ.2225620@best_ask1'</f>
        <v>159.80000000000001</v>
      </c>
      <c r="I62">
        <f>[1]!'NQ.EQNQ.2225620@best_asiz1'</f>
        <v>200</v>
      </c>
      <c r="J62" t="str">
        <f>[1]!'NQ.EQNQ.2225620@lst_prctck'</f>
        <v>+ - - + +</v>
      </c>
      <c r="K62">
        <f>[1]!'NQ.EQNQ.2225620@trade_volume_bi'</f>
        <v>3522876</v>
      </c>
      <c r="L62">
        <f>[1]!'NQ.EQNQ.2225620@trade_count'</f>
        <v>0</v>
      </c>
      <c r="M62" t="str">
        <f>[1]!'NQ.EQNQ.2225620@prc_ql_cd'</f>
        <v>CONT</v>
      </c>
      <c r="N62" t="str">
        <f>[1]!'NQ.EQNQ.2225620@trade_time'</f>
        <v>22.00.00</v>
      </c>
    </row>
    <row r="63" spans="1:14" x14ac:dyDescent="0.3">
      <c r="A63" t="str">
        <f>[1]!'NQ.EQNQ.1509@symbol'</f>
        <v>MXIM</v>
      </c>
      <c r="B63" t="str">
        <f>[1]!'NQ.EQNQ.1509@instrument_name'</f>
        <v>MAXIM INTEGRATED PRODUCTS INC.</v>
      </c>
      <c r="C63" t="str">
        <f>[1]!'NQ.EQNQ.1509@exchange_name'</f>
        <v>NASDAQ</v>
      </c>
      <c r="D63">
        <f>[1]!'NQ.EQNQ.1509@last_price'</f>
        <v>89.2</v>
      </c>
      <c r="E63">
        <f>[1]!'NQ.EQNQ.1509@percentage_change'</f>
        <v>-0.32</v>
      </c>
      <c r="F63">
        <f>[1]!'NQ.EQNQ.1509@best_bsiz1'</f>
        <v>100</v>
      </c>
      <c r="G63">
        <f>[1]!'NQ.EQNQ.1509@best_bid1'</f>
        <v>88.82</v>
      </c>
      <c r="H63">
        <f>[1]!'NQ.EQNQ.1509@best_ask1'</f>
        <v>89.86</v>
      </c>
      <c r="I63">
        <f>[1]!'NQ.EQNQ.1509@best_asiz1'</f>
        <v>100</v>
      </c>
      <c r="J63" t="str">
        <f>[1]!'NQ.EQNQ.1509@lst_prctck'</f>
        <v>+ - - + +</v>
      </c>
      <c r="K63">
        <f>[1]!'NQ.EQNQ.1509@trade_volume_bi'</f>
        <v>1572663</v>
      </c>
      <c r="L63">
        <f>[1]!'NQ.EQNQ.1509@trade_count'</f>
        <v>0</v>
      </c>
      <c r="M63" t="str">
        <f>[1]!'NQ.EQNQ.1509@prc_ql_cd'</f>
        <v>CONT</v>
      </c>
      <c r="N63" t="str">
        <f>[1]!'NQ.EQNQ.1509@trade_time'</f>
        <v>22.00.00</v>
      </c>
    </row>
    <row r="64" spans="1:14" x14ac:dyDescent="0.3">
      <c r="A64" t="str">
        <f>[1]!'NQ.EQNQ.137369@symbol'</f>
        <v>MELI</v>
      </c>
      <c r="B64" t="str">
        <f>[1]!'NQ.EQNQ.137369@instrument_name'</f>
        <v>MERCADOLIBRE ORD</v>
      </c>
      <c r="C64" t="str">
        <f>[1]!'NQ.EQNQ.137369@exchange_name'</f>
        <v>NASDAQ</v>
      </c>
      <c r="D64">
        <f>[1]!'NQ.EQNQ.137369@last_price'</f>
        <v>1918.13</v>
      </c>
      <c r="E64">
        <f>[1]!'NQ.EQNQ.137369@percentage_change'</f>
        <v>1.31</v>
      </c>
      <c r="F64">
        <f>[1]!'NQ.EQNQ.137369@best_bsiz1'</f>
        <v>200</v>
      </c>
      <c r="G64">
        <f>[1]!'NQ.EQNQ.137369@best_bid1'</f>
        <v>1912</v>
      </c>
      <c r="H64">
        <f>[1]!'NQ.EQNQ.137369@best_ask1'</f>
        <v>1922.99</v>
      </c>
      <c r="I64">
        <f>[1]!'NQ.EQNQ.137369@best_asiz1'</f>
        <v>100</v>
      </c>
      <c r="J64" t="str">
        <f>[1]!'NQ.EQNQ.137369@lst_prctck'</f>
        <v>- + - - -</v>
      </c>
      <c r="K64">
        <f>[1]!'NQ.EQNQ.137369@trade_volume_bi'</f>
        <v>303041</v>
      </c>
      <c r="L64">
        <f>[1]!'NQ.EQNQ.137369@trade_count'</f>
        <v>0</v>
      </c>
      <c r="M64" t="str">
        <f>[1]!'NQ.EQNQ.137369@prc_ql_cd'</f>
        <v>CONT</v>
      </c>
      <c r="N64" t="str">
        <f>[1]!'NQ.EQNQ.137369@trade_time'</f>
        <v>22.00.00</v>
      </c>
    </row>
    <row r="65" spans="1:14" x14ac:dyDescent="0.3">
      <c r="A65" t="str">
        <f>[1]!'NQ.EQNQ.47716@symbol'</f>
        <v>MCHP</v>
      </c>
      <c r="B65" t="str">
        <f>[1]!'NQ.EQNQ.47716@instrument_name'</f>
        <v>MICROCHIP TECHNOLOGY INC</v>
      </c>
      <c r="C65" t="str">
        <f>[1]!'NQ.EQNQ.47716@exchange_name'</f>
        <v>NASDAQ</v>
      </c>
      <c r="D65">
        <f>[1]!'NQ.EQNQ.47716@last_price'</f>
        <v>145.44</v>
      </c>
      <c r="E65">
        <f>[1]!'NQ.EQNQ.47716@percentage_change'</f>
        <v>1.18</v>
      </c>
      <c r="F65">
        <f>[1]!'NQ.EQNQ.47716@best_bsiz1'</f>
        <v>100</v>
      </c>
      <c r="G65">
        <f>[1]!'NQ.EQNQ.47716@best_bid1'</f>
        <v>144.66</v>
      </c>
      <c r="H65">
        <f>[1]!'NQ.EQNQ.47716@best_ask1'</f>
        <v>145.65</v>
      </c>
      <c r="I65">
        <f>[1]!'NQ.EQNQ.47716@best_asiz1'</f>
        <v>200</v>
      </c>
      <c r="J65" t="str">
        <f>[1]!'NQ.EQNQ.47716@lst_prctck'</f>
        <v>- - - + +</v>
      </c>
      <c r="K65">
        <f>[1]!'NQ.EQNQ.47716@trade_volume_bi'</f>
        <v>2824611</v>
      </c>
      <c r="L65">
        <f>[1]!'NQ.EQNQ.47716@trade_count'</f>
        <v>0</v>
      </c>
      <c r="M65" t="str">
        <f>[1]!'NQ.EQNQ.47716@prc_ql_cd'</f>
        <v>CONT</v>
      </c>
      <c r="N65" t="str">
        <f>[1]!'NQ.EQNQ.47716@trade_time'</f>
        <v>22.00.01</v>
      </c>
    </row>
    <row r="66" spans="1:14" x14ac:dyDescent="0.3">
      <c r="A66" t="str">
        <f>[1]!'NQ.EQNQ.1252@symbol'</f>
        <v>MU</v>
      </c>
      <c r="B66" t="str">
        <f>[1]!'NQ.EQNQ.1252@instrument_name'</f>
        <v>MICRON TECNOLOGY INC.</v>
      </c>
      <c r="C66" t="str">
        <f>[1]!'NQ.EQNQ.1252@exchange_name'</f>
        <v>NASDAQ</v>
      </c>
      <c r="D66">
        <f>[1]!'NQ.EQNQ.1252@last_price'</f>
        <v>81.099999999999994</v>
      </c>
      <c r="E66">
        <f>[1]!'NQ.EQNQ.1252@percentage_change'</f>
        <v>-0.18</v>
      </c>
      <c r="F66">
        <f>[1]!'NQ.EQNQ.1252@best_bsiz1'</f>
        <v>600</v>
      </c>
      <c r="G66">
        <f>[1]!'NQ.EQNQ.1252@best_bid1'</f>
        <v>81.05</v>
      </c>
      <c r="H66">
        <f>[1]!'NQ.EQNQ.1252@best_ask1'</f>
        <v>81.180000000000007</v>
      </c>
      <c r="I66">
        <f>[1]!'NQ.EQNQ.1252@best_asiz1'</f>
        <v>100</v>
      </c>
      <c r="J66" t="str">
        <f>[1]!'NQ.EQNQ.1252@lst_prctck'</f>
        <v>- + - - -</v>
      </c>
      <c r="K66">
        <f>[1]!'NQ.EQNQ.1252@trade_volume_bi'</f>
        <v>10924861</v>
      </c>
      <c r="L66">
        <f>[1]!'NQ.EQNQ.1252@trade_count'</f>
        <v>0</v>
      </c>
      <c r="M66" t="str">
        <f>[1]!'NQ.EQNQ.1252@prc_ql_cd'</f>
        <v>CONT</v>
      </c>
      <c r="N66" t="str">
        <f>[1]!'NQ.EQNQ.1252@trade_time'</f>
        <v>22.00.00</v>
      </c>
    </row>
    <row r="67" spans="1:14" x14ac:dyDescent="0.3">
      <c r="A67" t="str">
        <f>[1]!'NQ.EQNQ.173@symbol'</f>
        <v>MSFT</v>
      </c>
      <c r="B67" t="str">
        <f>[1]!'NQ.EQNQ.173@instrument_name'</f>
        <v>MICROSOFT INC.</v>
      </c>
      <c r="C67" t="str">
        <f>[1]!'NQ.EQNQ.173@exchange_name'</f>
        <v>NASDAQ</v>
      </c>
      <c r="D67">
        <f>[1]!'NQ.EQNQ.173@last_price'</f>
        <v>242.2</v>
      </c>
      <c r="E67">
        <f>[1]!'NQ.EQNQ.173@percentage_change'</f>
        <v>0.08</v>
      </c>
      <c r="F67">
        <f>[1]!'NQ.EQNQ.173@best_bsiz1'</f>
        <v>200</v>
      </c>
      <c r="G67">
        <f>[1]!'NQ.EQNQ.173@best_bid1'</f>
        <v>242.2</v>
      </c>
      <c r="H67">
        <f>[1]!'NQ.EQNQ.173@best_ask1'</f>
        <v>242.29</v>
      </c>
      <c r="I67">
        <f>[1]!'NQ.EQNQ.173@best_asiz1'</f>
        <v>200</v>
      </c>
      <c r="J67" t="str">
        <f>[1]!'NQ.EQNQ.173@lst_prctck'</f>
        <v>- + + + -</v>
      </c>
      <c r="K67">
        <f>[1]!'NQ.EQNQ.173@trade_volume_bi'</f>
        <v>17923557</v>
      </c>
      <c r="L67">
        <f>[1]!'NQ.EQNQ.173@trade_count'</f>
        <v>0</v>
      </c>
      <c r="M67" t="str">
        <f>[1]!'NQ.EQNQ.173@prc_ql_cd'</f>
        <v>CONT</v>
      </c>
      <c r="N67" t="str">
        <f>[1]!'NQ.EQNQ.173@trade_time'</f>
        <v>22.00.00</v>
      </c>
    </row>
    <row r="68" spans="1:14" x14ac:dyDescent="0.3">
      <c r="A68" t="str">
        <f>[1]!'NQ.EQNQ.1956765@symbol'</f>
        <v>MRNA</v>
      </c>
      <c r="B68" t="str">
        <f>[1]!'NQ.EQNQ.1956765@instrument_name'</f>
        <v>MODERNA RG REGISTERED SHS</v>
      </c>
      <c r="C68" t="str">
        <f>[1]!'NQ.EQNQ.1956765@exchange_name'</f>
        <v>NASDAQ</v>
      </c>
      <c r="D68">
        <f>[1]!'NQ.EQNQ.1956765@last_price'</f>
        <v>176.12</v>
      </c>
      <c r="E68">
        <f>[1]!'NQ.EQNQ.1956765@percentage_change'</f>
        <v>1.69</v>
      </c>
      <c r="F68">
        <f>[1]!'NQ.EQNQ.1956765@best_bsiz1'</f>
        <v>1600</v>
      </c>
      <c r="G68">
        <f>[1]!'NQ.EQNQ.1956765@best_bid1'</f>
        <v>175.11</v>
      </c>
      <c r="H68">
        <f>[1]!'NQ.EQNQ.1956765@best_ask1'</f>
        <v>175.5</v>
      </c>
      <c r="I68">
        <f>[1]!'NQ.EQNQ.1956765@best_asiz1'</f>
        <v>100</v>
      </c>
      <c r="J68" t="str">
        <f>[1]!'NQ.EQNQ.1956765@lst_prctck'</f>
        <v>- + + - -</v>
      </c>
      <c r="K68">
        <f>[1]!'NQ.EQNQ.1956765@trade_volume_bi'</f>
        <v>8942916</v>
      </c>
      <c r="L68">
        <f>[1]!'NQ.EQNQ.1956765@trade_count'</f>
        <v>0</v>
      </c>
      <c r="M68" t="str">
        <f>[1]!'NQ.EQNQ.1956765@prc_ql_cd'</f>
        <v>CONT</v>
      </c>
      <c r="N68" t="str">
        <f>[1]!'NQ.EQNQ.1956765@trade_time'</f>
        <v>22.00.00</v>
      </c>
    </row>
    <row r="69" spans="1:14" x14ac:dyDescent="0.3">
      <c r="A69" t="str">
        <f>[1]!'NQ.EQNQ.719700@symbol'</f>
        <v>MDLZ</v>
      </c>
      <c r="B69" t="str">
        <f>[1]!'NQ.EQNQ.719700@instrument_name'</f>
        <v>MONDELEZ INTL-ORD SHS CL A W/I-USD</v>
      </c>
      <c r="C69" t="str">
        <f>[1]!'NQ.EQNQ.719700@exchange_name'</f>
        <v>NASDAQ</v>
      </c>
      <c r="D69">
        <f>[1]!'NQ.EQNQ.719700@last_price'</f>
        <v>56.21</v>
      </c>
      <c r="E69">
        <f>[1]!'NQ.EQNQ.719700@percentage_change'</f>
        <v>0.38</v>
      </c>
      <c r="F69">
        <f>[1]!'NQ.EQNQ.719700@best_bsiz1'</f>
        <v>100</v>
      </c>
      <c r="G69">
        <f>[1]!'NQ.EQNQ.719700@best_bid1'</f>
        <v>56.22</v>
      </c>
      <c r="H69">
        <f>[1]!'NQ.EQNQ.719700@best_ask1'</f>
        <v>56.36</v>
      </c>
      <c r="I69">
        <f>[1]!'NQ.EQNQ.719700@best_asiz1'</f>
        <v>200</v>
      </c>
      <c r="J69" t="str">
        <f>[1]!'NQ.EQNQ.719700@lst_prctck'</f>
        <v>- + - + -</v>
      </c>
      <c r="K69">
        <f>[1]!'NQ.EQNQ.719700@trade_volume_bi'</f>
        <v>4961019</v>
      </c>
      <c r="L69">
        <f>[1]!'NQ.EQNQ.719700@trade_count'</f>
        <v>0</v>
      </c>
      <c r="M69" t="str">
        <f>[1]!'NQ.EQNQ.719700@prc_ql_cd'</f>
        <v>CONT</v>
      </c>
      <c r="N69" t="str">
        <f>[1]!'NQ.EQNQ.719700@trade_time'</f>
        <v>22.00.00</v>
      </c>
    </row>
    <row r="70" spans="1:14" x14ac:dyDescent="0.3">
      <c r="A70" t="str">
        <f>[1]!'NQ.EQNQ.971084@symbol'</f>
        <v>MNST</v>
      </c>
      <c r="B70" t="str">
        <f>[1]!'NQ.EQNQ.971084@instrument_name'</f>
        <v>MONSTER BEVERAGE SHS</v>
      </c>
      <c r="C70" t="str">
        <f>[1]!'NQ.EQNQ.971084@exchange_name'</f>
        <v>NASDAQ</v>
      </c>
      <c r="D70">
        <f>[1]!'NQ.EQNQ.971084@last_price'</f>
        <v>91.1</v>
      </c>
      <c r="E70">
        <f>[1]!'NQ.EQNQ.971084@percentage_change'</f>
        <v>-0.4</v>
      </c>
      <c r="F70">
        <f>[1]!'NQ.EQNQ.971084@best_bsiz1'</f>
        <v>300</v>
      </c>
      <c r="G70">
        <f>[1]!'NQ.EQNQ.971084@best_bid1'</f>
        <v>89.43</v>
      </c>
      <c r="H70">
        <f>[1]!'NQ.EQNQ.971084@best_ask1'</f>
        <v>91.76</v>
      </c>
      <c r="I70">
        <f>[1]!'NQ.EQNQ.971084@best_asiz1'</f>
        <v>300</v>
      </c>
      <c r="J70" t="str">
        <f>[1]!'NQ.EQNQ.971084@lst_prctck'</f>
        <v>- + + - -</v>
      </c>
      <c r="K70">
        <f>[1]!'NQ.EQNQ.971084@trade_volume_bi'</f>
        <v>1722452</v>
      </c>
      <c r="L70">
        <f>[1]!'NQ.EQNQ.971084@trade_count'</f>
        <v>0</v>
      </c>
      <c r="M70" t="str">
        <f>[1]!'NQ.EQNQ.971084@prc_ql_cd'</f>
        <v>CONT</v>
      </c>
      <c r="N70" t="str">
        <f>[1]!'NQ.EQNQ.971084@trade_time'</f>
        <v>22.00.00</v>
      </c>
    </row>
    <row r="71" spans="1:14" x14ac:dyDescent="0.3">
      <c r="A71" t="str">
        <f>[1]!'NQ.EQNQ.15903@symbol'</f>
        <v>NTES</v>
      </c>
      <c r="B71" t="str">
        <f>[1]!'NQ.EQNQ.15903@instrument_name'</f>
        <v>NETEASE ADR USD</v>
      </c>
      <c r="C71" t="str">
        <f>[1]!'NQ.EQNQ.15903@exchange_name'</f>
        <v>NASDAQ</v>
      </c>
      <c r="D71">
        <f>[1]!'NQ.EQNQ.15903@last_price'</f>
        <v>124.02</v>
      </c>
      <c r="E71">
        <f>[1]!'NQ.EQNQ.15903@percentage_change'</f>
        <v>1.42</v>
      </c>
      <c r="F71">
        <f>[1]!'NQ.EQNQ.15903@best_bsiz1'</f>
        <v>200</v>
      </c>
      <c r="G71">
        <f>[1]!'NQ.EQNQ.15903@best_bid1'</f>
        <v>121.03</v>
      </c>
      <c r="H71">
        <f>[1]!'NQ.EQNQ.15903@best_ask1'</f>
        <v>124.99</v>
      </c>
      <c r="I71">
        <f>[1]!'NQ.EQNQ.15903@best_asiz1'</f>
        <v>200</v>
      </c>
      <c r="J71" t="str">
        <f>[1]!'NQ.EQNQ.15903@lst_prctck'</f>
        <v>- + + - +</v>
      </c>
      <c r="K71">
        <f>[1]!'NQ.EQNQ.15903@trade_volume_bi'</f>
        <v>2137677</v>
      </c>
      <c r="L71">
        <f>[1]!'NQ.EQNQ.15903@trade_count'</f>
        <v>0</v>
      </c>
      <c r="M71" t="str">
        <f>[1]!'NQ.EQNQ.15903@prc_ql_cd'</f>
        <v>CONT</v>
      </c>
      <c r="N71" t="str">
        <f>[1]!'NQ.EQNQ.15903@trade_time'</f>
        <v>22.00.00</v>
      </c>
    </row>
    <row r="72" spans="1:14" x14ac:dyDescent="0.3">
      <c r="A72" t="str">
        <f>[1]!'NQ.EQNQ.60897@symbol'</f>
        <v>NFLX</v>
      </c>
      <c r="B72" t="str">
        <f>[1]!'NQ.EQNQ.60897@instrument_name'</f>
        <v>NETFLIX.COM</v>
      </c>
      <c r="C72" t="str">
        <f>[1]!'NQ.EQNQ.60897@exchange_name'</f>
        <v>NASDAQ</v>
      </c>
      <c r="D72">
        <f>[1]!'NQ.EQNQ.60897@last_price'</f>
        <v>550.79</v>
      </c>
      <c r="E72">
        <f>[1]!'NQ.EQNQ.60897@percentage_change'</f>
        <v>-0.25</v>
      </c>
      <c r="F72">
        <f>[1]!'NQ.EQNQ.60897@best_bsiz1'</f>
        <v>100</v>
      </c>
      <c r="G72">
        <f>[1]!'NQ.EQNQ.60897@best_bid1'</f>
        <v>550</v>
      </c>
      <c r="H72">
        <f>[1]!'NQ.EQNQ.60897@best_ask1'</f>
        <v>550.66</v>
      </c>
      <c r="I72">
        <f>[1]!'NQ.EQNQ.60897@best_asiz1'</f>
        <v>100</v>
      </c>
      <c r="J72" t="str">
        <f>[1]!'NQ.EQNQ.60897@lst_prctck'</f>
        <v>+ + - + +</v>
      </c>
      <c r="K72">
        <f>[1]!'NQ.EQNQ.60897@trade_volume_bi'</f>
        <v>2361496</v>
      </c>
      <c r="L72">
        <f>[1]!'NQ.EQNQ.60897@trade_count'</f>
        <v>0</v>
      </c>
      <c r="M72" t="str">
        <f>[1]!'NQ.EQNQ.60897@prc_ql_cd'</f>
        <v>CONT</v>
      </c>
      <c r="N72" t="str">
        <f>[1]!'NQ.EQNQ.60897@trade_time'</f>
        <v>22.00.01</v>
      </c>
    </row>
    <row r="73" spans="1:14" x14ac:dyDescent="0.3">
      <c r="A73" t="str">
        <f>[1]!'NQ.EQNQ.1611@symbol'</f>
        <v>NVDA</v>
      </c>
      <c r="B73" t="str">
        <f>[1]!'NQ.EQNQ.1611@instrument_name'</f>
        <v>NVIDIA CORP</v>
      </c>
      <c r="C73" t="str">
        <f>[1]!'NQ.EQNQ.1611@exchange_name'</f>
        <v>NASDAQ</v>
      </c>
      <c r="D73">
        <f>[1]!'NQ.EQNQ.1611@last_price'</f>
        <v>543.64</v>
      </c>
      <c r="E73">
        <f>[1]!'NQ.EQNQ.1611@percentage_change'</f>
        <v>-0.54</v>
      </c>
      <c r="F73">
        <f>[1]!'NQ.EQNQ.1611@best_bsiz1'</f>
        <v>100</v>
      </c>
      <c r="G73">
        <f>[1]!'NQ.EQNQ.1611@best_bid1'</f>
        <v>543.5</v>
      </c>
      <c r="H73">
        <f>[1]!'NQ.EQNQ.1611@best_ask1'</f>
        <v>543.99</v>
      </c>
      <c r="I73">
        <f>[1]!'NQ.EQNQ.1611@best_asiz1'</f>
        <v>100</v>
      </c>
      <c r="J73" t="str">
        <f>[1]!'NQ.EQNQ.1611@lst_prctck'</f>
        <v>+ - - + -</v>
      </c>
      <c r="K73">
        <f>[1]!'NQ.EQNQ.1611@trade_volume_bi'</f>
        <v>4200852</v>
      </c>
      <c r="L73">
        <f>[1]!'NQ.EQNQ.1611@trade_count'</f>
        <v>0</v>
      </c>
      <c r="M73" t="str">
        <f>[1]!'NQ.EQNQ.1611@prc_ql_cd'</f>
        <v>CONT</v>
      </c>
      <c r="N73" t="str">
        <f>[1]!'NQ.EQNQ.1611@trade_time'</f>
        <v>22.00.00</v>
      </c>
    </row>
    <row r="74" spans="1:14" x14ac:dyDescent="0.3">
      <c r="A74" t="str">
        <f>[1]!'NQ.EQNQ.303122@symbol'</f>
        <v>NXPI</v>
      </c>
      <c r="B74" t="str">
        <f>[1]!'NQ.EQNQ.303122@instrument_name'</f>
        <v>NXP SEMICONDUCTORS-ORD SHS</v>
      </c>
      <c r="C74" t="str">
        <f>[1]!'NQ.EQNQ.303122@exchange_name'</f>
        <v>NASDAQ</v>
      </c>
      <c r="D74">
        <f>[1]!'NQ.EQNQ.303122@last_price'</f>
        <v>181.99</v>
      </c>
      <c r="E74">
        <f>[1]!'NQ.EQNQ.303122@percentage_change'</f>
        <v>0.3</v>
      </c>
      <c r="F74">
        <f>[1]!'NQ.EQNQ.303122@best_bsiz1'</f>
        <v>100</v>
      </c>
      <c r="G74">
        <f>[1]!'NQ.EQNQ.303122@best_bid1'</f>
        <v>181.14</v>
      </c>
      <c r="H74">
        <f>[1]!'NQ.EQNQ.303122@best_ask1'</f>
        <v>183.39</v>
      </c>
      <c r="I74">
        <f>[1]!'NQ.EQNQ.303122@best_asiz1'</f>
        <v>200</v>
      </c>
      <c r="J74" t="str">
        <f>[1]!'NQ.EQNQ.303122@lst_prctck'</f>
        <v>+ + - - +</v>
      </c>
      <c r="K74">
        <f>[1]!'NQ.EQNQ.303122@trade_volume_bi'</f>
        <v>2979316</v>
      </c>
      <c r="L74">
        <f>[1]!'NQ.EQNQ.303122@trade_count'</f>
        <v>0</v>
      </c>
      <c r="M74" t="str">
        <f>[1]!'NQ.EQNQ.303122@prc_ql_cd'</f>
        <v>CONT</v>
      </c>
      <c r="N74" t="str">
        <f>[1]!'NQ.EQNQ.303122@trade_time'</f>
        <v>22.00.00</v>
      </c>
    </row>
    <row r="75" spans="1:14" x14ac:dyDescent="0.3">
      <c r="A75" t="str">
        <f>[1]!'NQ.EQNQ.601192@symbol'</f>
        <v>ORLY</v>
      </c>
      <c r="B75" t="str">
        <f>[1]!'NQ.EQNQ.601192@instrument_name'</f>
        <v>O'REILLY AUTOMOTIVE ORD SHS USD</v>
      </c>
      <c r="C75" t="str">
        <f>[1]!'NQ.EQNQ.601192@exchange_name'</f>
        <v>NASDAQ</v>
      </c>
      <c r="D75">
        <f>[1]!'NQ.EQNQ.601192@last_price'</f>
        <v>448.29</v>
      </c>
      <c r="E75">
        <f>[1]!'NQ.EQNQ.601192@percentage_change'</f>
        <v>-0.79</v>
      </c>
      <c r="F75">
        <f>[1]!'NQ.EQNQ.601192@best_bsiz1'</f>
        <v>200</v>
      </c>
      <c r="G75">
        <f>[1]!'NQ.EQNQ.601192@best_bid1'</f>
        <v>447.5</v>
      </c>
      <c r="H75">
        <f>[1]!'NQ.EQNQ.601192@best_ask1'</f>
        <v>458</v>
      </c>
      <c r="I75">
        <f>[1]!'NQ.EQNQ.601192@best_asiz1'</f>
        <v>200</v>
      </c>
      <c r="J75" t="str">
        <f>[1]!'NQ.EQNQ.601192@lst_prctck'</f>
        <v>+ + - + +</v>
      </c>
      <c r="K75">
        <f>[1]!'NQ.EQNQ.601192@trade_volume_bi'</f>
        <v>615216</v>
      </c>
      <c r="L75">
        <f>[1]!'NQ.EQNQ.601192@trade_count'</f>
        <v>0</v>
      </c>
      <c r="M75" t="str">
        <f>[1]!'NQ.EQNQ.601192@prc_ql_cd'</f>
        <v>CONT</v>
      </c>
      <c r="N75" t="str">
        <f>[1]!'NQ.EQNQ.601192@trade_time'</f>
        <v>22.00.00</v>
      </c>
    </row>
    <row r="76" spans="1:14" x14ac:dyDescent="0.3">
      <c r="A76" t="str">
        <f>[1]!'NQ.EQNQ.1736635@symbol'</f>
        <v>OKTA</v>
      </c>
      <c r="B76" t="str">
        <f>[1]!'NQ.EQNQ.1736635@instrument_name'</f>
        <v>OKTA-A RG REGISTERED SHS -A-</v>
      </c>
      <c r="C76" t="str">
        <f>[1]!'NQ.EQNQ.1736635@exchange_name'</f>
        <v>NASDAQ</v>
      </c>
      <c r="D76">
        <f>[1]!'NQ.EQNQ.1736635@last_price'</f>
        <v>282.94</v>
      </c>
      <c r="E76">
        <f>[1]!'NQ.EQNQ.1736635@percentage_change'</f>
        <v>-0.24</v>
      </c>
      <c r="F76">
        <f>[1]!'NQ.EQNQ.1736635@best_bsiz1'</f>
        <v>100</v>
      </c>
      <c r="G76">
        <f>[1]!'NQ.EQNQ.1736635@best_bid1'</f>
        <v>280.06</v>
      </c>
      <c r="H76">
        <f>[1]!'NQ.EQNQ.1736635@best_ask1'</f>
        <v>284.49</v>
      </c>
      <c r="I76">
        <f>[1]!'NQ.EQNQ.1736635@best_asiz1'</f>
        <v>100</v>
      </c>
      <c r="J76" t="str">
        <f>[1]!'NQ.EQNQ.1736635@lst_prctck'</f>
        <v>- - - - -</v>
      </c>
      <c r="K76">
        <f>[1]!'NQ.EQNQ.1736635@trade_volume_bi'</f>
        <v>811423</v>
      </c>
      <c r="L76">
        <f>[1]!'NQ.EQNQ.1736635@trade_count'</f>
        <v>0</v>
      </c>
      <c r="M76" t="str">
        <f>[1]!'NQ.EQNQ.1736635@prc_ql_cd'</f>
        <v>CONT</v>
      </c>
      <c r="N76" t="str">
        <f>[1]!'NQ.EQNQ.1736635@trade_time'</f>
        <v>22.00.00</v>
      </c>
    </row>
    <row r="77" spans="1:14" x14ac:dyDescent="0.3">
      <c r="A77" t="str">
        <f>[1]!'NQ.EQNQ.3545@symbol'</f>
        <v>PCAR</v>
      </c>
      <c r="B77" t="str">
        <f>[1]!'NQ.EQNQ.3545@instrument_name'</f>
        <v>PACCAR INC.</v>
      </c>
      <c r="C77" t="str">
        <f>[1]!'NQ.EQNQ.3545@exchange_name'</f>
        <v>NASDAQ</v>
      </c>
      <c r="D77">
        <f>[1]!'NQ.EQNQ.3545@last_price'</f>
        <v>96.58</v>
      </c>
      <c r="E77">
        <f>[1]!'NQ.EQNQ.3545@percentage_change'</f>
        <v>-0.54</v>
      </c>
      <c r="F77">
        <f>[1]!'NQ.EQNQ.3545@best_bsiz1'</f>
        <v>100</v>
      </c>
      <c r="G77">
        <f>[1]!'NQ.EQNQ.3545@best_bid1'</f>
        <v>95.9</v>
      </c>
      <c r="H77">
        <f>[1]!'NQ.EQNQ.3545@best_ask1'</f>
        <v>96.81</v>
      </c>
      <c r="I77">
        <f>[1]!'NQ.EQNQ.3545@best_asiz1'</f>
        <v>100</v>
      </c>
      <c r="J77" t="str">
        <f>[1]!'NQ.EQNQ.3545@lst_prctck'</f>
        <v>+ - + + -</v>
      </c>
      <c r="K77">
        <f>[1]!'NQ.EQNQ.3545@trade_volume_bi'</f>
        <v>1686348</v>
      </c>
      <c r="L77">
        <f>[1]!'NQ.EQNQ.3545@trade_count'</f>
        <v>0</v>
      </c>
      <c r="M77" t="str">
        <f>[1]!'NQ.EQNQ.3545@prc_ql_cd'</f>
        <v>CONT</v>
      </c>
      <c r="N77" t="str">
        <f>[1]!'NQ.EQNQ.3545@trade_time'</f>
        <v>22.00.00</v>
      </c>
    </row>
    <row r="78" spans="1:14" x14ac:dyDescent="0.3">
      <c r="A78" t="str">
        <f>[1]!'NQ.EQNQ.1348@symbol'</f>
        <v>PAYX</v>
      </c>
      <c r="B78" t="str">
        <f>[1]!'NQ.EQNQ.1348@instrument_name'</f>
        <v>PAYCHEX INC.</v>
      </c>
      <c r="C78" t="str">
        <f>[1]!'NQ.EQNQ.1348@exchange_name'</f>
        <v>NASDAQ</v>
      </c>
      <c r="D78">
        <f>[1]!'NQ.EQNQ.1348@last_price'</f>
        <v>91.63</v>
      </c>
      <c r="E78">
        <f>[1]!'NQ.EQNQ.1348@percentage_change'</f>
        <v>0.05</v>
      </c>
      <c r="F78">
        <f>[1]!'NQ.EQNQ.1348@best_bsiz1'</f>
        <v>300</v>
      </c>
      <c r="G78">
        <f>[1]!'NQ.EQNQ.1348@best_bid1'</f>
        <v>90.41</v>
      </c>
      <c r="H78">
        <f>[1]!'NQ.EQNQ.1348@best_ask1'</f>
        <v>92.15</v>
      </c>
      <c r="I78">
        <f>[1]!'NQ.EQNQ.1348@best_asiz1'</f>
        <v>200</v>
      </c>
      <c r="J78" t="str">
        <f>[1]!'NQ.EQNQ.1348@lst_prctck'</f>
        <v>+ - + + -</v>
      </c>
      <c r="K78">
        <f>[1]!'NQ.EQNQ.1348@trade_volume_bi'</f>
        <v>1059889</v>
      </c>
      <c r="L78">
        <f>[1]!'NQ.EQNQ.1348@trade_count'</f>
        <v>0</v>
      </c>
      <c r="M78" t="str">
        <f>[1]!'NQ.EQNQ.1348@prc_ql_cd'</f>
        <v>CONT</v>
      </c>
      <c r="N78" t="str">
        <f>[1]!'NQ.EQNQ.1348@trade_time'</f>
        <v>22.00.00</v>
      </c>
    </row>
    <row r="79" spans="1:14" x14ac:dyDescent="0.3">
      <c r="A79" t="str">
        <f>[1]!'NQ.EQNQ.979483@symbol'</f>
        <v>PYPL</v>
      </c>
      <c r="B79" t="str">
        <f>[1]!'NQ.EQNQ.979483@instrument_name'</f>
        <v>PAYPAL HOLDINGS-WI SHS WHEN ISSUED</v>
      </c>
      <c r="C79" t="str">
        <f>[1]!'NQ.EQNQ.979483@exchange_name'</f>
        <v>NASDAQ</v>
      </c>
      <c r="D79">
        <f>[1]!'NQ.EQNQ.979483@last_price'</f>
        <v>269.44</v>
      </c>
      <c r="E79">
        <f>[1]!'NQ.EQNQ.979483@percentage_change'</f>
        <v>-0.37</v>
      </c>
      <c r="F79">
        <f>[1]!'NQ.EQNQ.979483@best_bsiz1'</f>
        <v>100</v>
      </c>
      <c r="G79">
        <f>[1]!'NQ.EQNQ.979483@best_bid1'</f>
        <v>269.75</v>
      </c>
      <c r="H79">
        <f>[1]!'NQ.EQNQ.979483@best_ask1'</f>
        <v>269.8</v>
      </c>
      <c r="I79">
        <f>[1]!'NQ.EQNQ.979483@best_asiz1'</f>
        <v>1000</v>
      </c>
      <c r="J79" t="str">
        <f>[1]!'NQ.EQNQ.979483@lst_prctck'</f>
        <v>- - - - -</v>
      </c>
      <c r="K79">
        <f>[1]!'NQ.EQNQ.979483@trade_volume_bi'</f>
        <v>7776602</v>
      </c>
      <c r="L79">
        <f>[1]!'NQ.EQNQ.979483@trade_count'</f>
        <v>0</v>
      </c>
      <c r="M79" t="str">
        <f>[1]!'NQ.EQNQ.979483@prc_ql_cd'</f>
        <v>CONT</v>
      </c>
      <c r="N79" t="str">
        <f>[1]!'NQ.EQNQ.979483@trade_time'</f>
        <v>22.00.00</v>
      </c>
    </row>
    <row r="80" spans="1:14" x14ac:dyDescent="0.3">
      <c r="A80" t="str">
        <f>[1]!'NQ.EQNQ.2079260@symbol'</f>
        <v>PTON</v>
      </c>
      <c r="B80" t="str">
        <f>[1]!'NQ.EQNQ.2079260@instrument_name'</f>
        <v>PELOTON INTERA RG-A REGISTERED SHS -A-</v>
      </c>
      <c r="C80" t="str">
        <f>[1]!'NQ.EQNQ.2079260@exchange_name'</f>
        <v>NASDAQ</v>
      </c>
      <c r="D80">
        <f>[1]!'NQ.EQNQ.2079260@last_price'</f>
        <v>148.30000000000001</v>
      </c>
      <c r="E80">
        <f>[1]!'NQ.EQNQ.2079260@percentage_change'</f>
        <v>-5.86</v>
      </c>
      <c r="F80">
        <f>[1]!'NQ.EQNQ.2079260@best_bsiz1'</f>
        <v>100</v>
      </c>
      <c r="G80">
        <f>[1]!'NQ.EQNQ.2079260@best_bid1'</f>
        <v>148.80000000000001</v>
      </c>
      <c r="H80">
        <f>[1]!'NQ.EQNQ.2079260@best_ask1'</f>
        <v>148.94</v>
      </c>
      <c r="I80">
        <f>[1]!'NQ.EQNQ.2079260@best_asiz1'</f>
        <v>100</v>
      </c>
      <c r="J80" t="str">
        <f>[1]!'NQ.EQNQ.2079260@lst_prctck'</f>
        <v>- - - + +</v>
      </c>
      <c r="K80">
        <f>[1]!'NQ.EQNQ.2079260@trade_volume_bi'</f>
        <v>22976904</v>
      </c>
      <c r="L80">
        <f>[1]!'NQ.EQNQ.2079260@trade_count'</f>
        <v>0</v>
      </c>
      <c r="M80" t="str">
        <f>[1]!'NQ.EQNQ.2079260@prc_ql_cd'</f>
        <v>CONT</v>
      </c>
      <c r="N80" t="str">
        <f>[1]!'NQ.EQNQ.2079260@trade_time'</f>
        <v>22.00.00</v>
      </c>
    </row>
    <row r="81" spans="1:14" x14ac:dyDescent="0.3">
      <c r="A81" t="str">
        <f>[1]!'NQ.EQNQ.223@symbol'</f>
        <v>PEP</v>
      </c>
      <c r="B81" t="str">
        <f>[1]!'NQ.EQNQ.223@instrument_name'</f>
        <v>PEPSICO INC.</v>
      </c>
      <c r="C81" t="str">
        <f>[1]!'NQ.EQNQ.223@exchange_name'</f>
        <v>NASDAQ</v>
      </c>
      <c r="D81">
        <f>[1]!'NQ.EQNQ.223@last_price'</f>
        <v>140.96</v>
      </c>
      <c r="E81">
        <f>[1]!'NQ.EQNQ.223@percentage_change'</f>
        <v>0.92</v>
      </c>
      <c r="F81">
        <f>[1]!'NQ.EQNQ.223@best_bsiz1'</f>
        <v>500</v>
      </c>
      <c r="G81">
        <f>[1]!'NQ.EQNQ.223@best_bid1'</f>
        <v>140.31</v>
      </c>
      <c r="H81">
        <f>[1]!'NQ.EQNQ.223@best_ask1'</f>
        <v>141.99</v>
      </c>
      <c r="I81">
        <f>[1]!'NQ.EQNQ.223@best_asiz1'</f>
        <v>100</v>
      </c>
      <c r="J81" t="str">
        <f>[1]!'NQ.EQNQ.223@lst_prctck'</f>
        <v>+ - + - +</v>
      </c>
      <c r="K81">
        <f>[1]!'NQ.EQNQ.223@trade_volume_bi'</f>
        <v>4430864</v>
      </c>
      <c r="L81">
        <f>[1]!'NQ.EQNQ.223@trade_count'</f>
        <v>0</v>
      </c>
      <c r="M81" t="str">
        <f>[1]!'NQ.EQNQ.223@prc_ql_cd'</f>
        <v>CONT</v>
      </c>
      <c r="N81" t="str">
        <f>[1]!'NQ.EQNQ.223@trade_time'</f>
        <v>22.00.01</v>
      </c>
    </row>
    <row r="82" spans="1:14" x14ac:dyDescent="0.3">
      <c r="A82" t="str">
        <f>[1]!'NQ.EQNQ.1900034@symbol'</f>
        <v>PDD</v>
      </c>
      <c r="B82" t="str">
        <f>[1]!'NQ.EQNQ.1900034@instrument_name'</f>
        <v>PINDUODUO SP ADS-A SHS -A- SPONSORED AMERICAN DEPOSITARY SHA</v>
      </c>
      <c r="C82" t="str">
        <f>[1]!'NQ.EQNQ.1900034@exchange_name'</f>
        <v>NASDAQ</v>
      </c>
      <c r="D82">
        <f>[1]!'NQ.EQNQ.1900034@last_price'</f>
        <v>196.16</v>
      </c>
      <c r="E82">
        <f>[1]!'NQ.EQNQ.1900034@percentage_change'</f>
        <v>-0.56000000000000005</v>
      </c>
      <c r="F82">
        <f>[1]!'NQ.EQNQ.1900034@best_bsiz1'</f>
        <v>100</v>
      </c>
      <c r="G82">
        <f>[1]!'NQ.EQNQ.1900034@best_bid1'</f>
        <v>196.16</v>
      </c>
      <c r="H82">
        <f>[1]!'NQ.EQNQ.1900034@best_ask1'</f>
        <v>197</v>
      </c>
      <c r="I82">
        <f>[1]!'NQ.EQNQ.1900034@best_asiz1'</f>
        <v>300</v>
      </c>
      <c r="J82" t="str">
        <f>[1]!'NQ.EQNQ.1900034@lst_prctck'</f>
        <v>+ - - - -</v>
      </c>
      <c r="K82">
        <f>[1]!'NQ.EQNQ.1900034@trade_volume_bi'</f>
        <v>4471072</v>
      </c>
      <c r="L82">
        <f>[1]!'NQ.EQNQ.1900034@trade_count'</f>
        <v>0</v>
      </c>
      <c r="M82" t="str">
        <f>[1]!'NQ.EQNQ.1900034@prc_ql_cd'</f>
        <v>CONT</v>
      </c>
      <c r="N82" t="str">
        <f>[1]!'NQ.EQNQ.1900034@trade_time'</f>
        <v>22.00.00</v>
      </c>
    </row>
    <row r="83" spans="1:14" x14ac:dyDescent="0.3">
      <c r="A83" t="str">
        <f>[1]!'NQ.EQNQ.881@symbol'</f>
        <v>QCOM</v>
      </c>
      <c r="B83" t="str">
        <f>[1]!'NQ.EQNQ.881@instrument_name'</f>
        <v>QUALCOMM INC.</v>
      </c>
      <c r="C83" t="str">
        <f>[1]!'NQ.EQNQ.881@exchange_name'</f>
        <v>NASDAQ</v>
      </c>
      <c r="D83">
        <f>[1]!'NQ.EQNQ.881@last_price'</f>
        <v>145.84</v>
      </c>
      <c r="E83">
        <f>[1]!'NQ.EQNQ.881@percentage_change'</f>
        <v>-1.44</v>
      </c>
      <c r="F83">
        <f>[1]!'NQ.EQNQ.881@best_bsiz1'</f>
        <v>100</v>
      </c>
      <c r="G83">
        <f>[1]!'NQ.EQNQ.881@best_bid1'</f>
        <v>145.82</v>
      </c>
      <c r="H83">
        <f>[1]!'NQ.EQNQ.881@best_ask1'</f>
        <v>145.97999999999999</v>
      </c>
      <c r="I83">
        <f>[1]!'NQ.EQNQ.881@best_asiz1'</f>
        <v>700</v>
      </c>
      <c r="J83" t="str">
        <f>[1]!'NQ.EQNQ.881@lst_prctck'</f>
        <v>+ - - - -</v>
      </c>
      <c r="K83">
        <f>[1]!'NQ.EQNQ.881@trade_volume_bi'</f>
        <v>24626190</v>
      </c>
      <c r="L83">
        <f>[1]!'NQ.EQNQ.881@trade_count'</f>
        <v>0</v>
      </c>
      <c r="M83" t="str">
        <f>[1]!'NQ.EQNQ.881@prc_ql_cd'</f>
        <v>CONT</v>
      </c>
      <c r="N83" t="str">
        <f>[1]!'NQ.EQNQ.881@trade_time'</f>
        <v>22.00.00</v>
      </c>
    </row>
    <row r="84" spans="1:14" x14ac:dyDescent="0.3">
      <c r="A84" t="str">
        <f>[1]!'NQ.EQNQ.702@symbol'</f>
        <v>REGN</v>
      </c>
      <c r="B84" t="str">
        <f>[1]!'NQ.EQNQ.702@instrument_name'</f>
        <v>REGENERON PHARMA</v>
      </c>
      <c r="C84" t="str">
        <f>[1]!'NQ.EQNQ.702@exchange_name'</f>
        <v>NASDAQ</v>
      </c>
      <c r="D84">
        <f>[1]!'NQ.EQNQ.702@last_price'</f>
        <v>498.98</v>
      </c>
      <c r="E84">
        <f>[1]!'NQ.EQNQ.702@percentage_change'</f>
        <v>0.03</v>
      </c>
      <c r="F84">
        <f>[1]!'NQ.EQNQ.702@best_bsiz1'</f>
        <v>400</v>
      </c>
      <c r="G84">
        <f>[1]!'NQ.EQNQ.702@best_bid1'</f>
        <v>498</v>
      </c>
      <c r="H84">
        <f>[1]!'NQ.EQNQ.702@best_ask1'</f>
        <v>500</v>
      </c>
      <c r="I84">
        <f>[1]!'NQ.EQNQ.702@best_asiz1'</f>
        <v>100</v>
      </c>
      <c r="J84" t="str">
        <f>[1]!'NQ.EQNQ.702@lst_prctck'</f>
        <v>+ - + - -</v>
      </c>
      <c r="K84">
        <f>[1]!'NQ.EQNQ.702@trade_volume_bi'</f>
        <v>1597722</v>
      </c>
      <c r="L84">
        <f>[1]!'NQ.EQNQ.702@trade_count'</f>
        <v>0</v>
      </c>
      <c r="M84" t="str">
        <f>[1]!'NQ.EQNQ.702@prc_ql_cd'</f>
        <v>CONT</v>
      </c>
      <c r="N84" t="str">
        <f>[1]!'NQ.EQNQ.702@trade_time'</f>
        <v>22.00.00</v>
      </c>
    </row>
    <row r="85" spans="1:14" x14ac:dyDescent="0.3">
      <c r="A85" t="str">
        <f>[1]!'NQ.EQNQ.12635@symbol'</f>
        <v>ROST</v>
      </c>
      <c r="B85" t="str">
        <f>[1]!'NQ.EQNQ.12635@instrument_name'</f>
        <v>ROSS STORES</v>
      </c>
      <c r="C85" t="str">
        <f>[1]!'NQ.EQNQ.12635@exchange_name'</f>
        <v>NASDAQ</v>
      </c>
      <c r="D85">
        <f>[1]!'NQ.EQNQ.12635@last_price'</f>
        <v>118.72</v>
      </c>
      <c r="E85">
        <f>[1]!'NQ.EQNQ.12635@percentage_change'</f>
        <v>-0.03</v>
      </c>
      <c r="F85">
        <f>[1]!'NQ.EQNQ.12635@best_bsiz1'</f>
        <v>100</v>
      </c>
      <c r="G85">
        <f>[1]!'NQ.EQNQ.12635@best_bid1'</f>
        <v>109.35</v>
      </c>
      <c r="H85">
        <f>[1]!'NQ.EQNQ.12635@best_ask1'</f>
        <v>121.99</v>
      </c>
      <c r="I85">
        <f>[1]!'NQ.EQNQ.12635@best_asiz1'</f>
        <v>100</v>
      </c>
      <c r="J85" t="str">
        <f>[1]!'NQ.EQNQ.12635@lst_prctck'</f>
        <v>+ - + - +</v>
      </c>
      <c r="K85">
        <f>[1]!'NQ.EQNQ.12635@trade_volume_bi'</f>
        <v>1389041</v>
      </c>
      <c r="L85">
        <f>[1]!'NQ.EQNQ.12635@trade_count'</f>
        <v>0</v>
      </c>
      <c r="M85" t="str">
        <f>[1]!'NQ.EQNQ.12635@prc_ql_cd'</f>
        <v>CONT</v>
      </c>
      <c r="N85" t="str">
        <f>[1]!'NQ.EQNQ.12635@trade_time'</f>
        <v>22.00.00</v>
      </c>
    </row>
    <row r="86" spans="1:14" x14ac:dyDescent="0.3">
      <c r="A86" t="str">
        <f>[1]!'NQ.EQNQ.2265998@symbol'</f>
        <v>SGEN</v>
      </c>
      <c r="B86" t="str">
        <f>[1]!'NQ.EQNQ.2265998@instrument_name'</f>
        <v>SEAGEN RG REGISTERED SHS</v>
      </c>
      <c r="C86" t="str">
        <f>[1]!'NQ.EQNQ.2265998@exchange_name'</f>
        <v>NASDAQ</v>
      </c>
      <c r="D86">
        <f>[1]!'NQ.EQNQ.2265998@last_price'</f>
        <v>190.61</v>
      </c>
      <c r="E86">
        <f>[1]!'NQ.EQNQ.2265998@percentage_change'</f>
        <v>15.23</v>
      </c>
      <c r="F86">
        <f>[1]!'NQ.EQNQ.2265998@best_bsiz1'</f>
        <v>300</v>
      </c>
      <c r="G86">
        <f>[1]!'NQ.EQNQ.2265998@best_bid1'</f>
        <v>191</v>
      </c>
      <c r="H86">
        <f>[1]!'NQ.EQNQ.2265998@best_ask1'</f>
        <v>193.5</v>
      </c>
      <c r="I86">
        <f>[1]!'NQ.EQNQ.2265998@best_asiz1'</f>
        <v>100</v>
      </c>
      <c r="J86" t="str">
        <f>[1]!'NQ.EQNQ.2265998@lst_prctck'</f>
        <v>+ + - - +</v>
      </c>
      <c r="K86">
        <f>[1]!'NQ.EQNQ.2265998@trade_volume_bi'</f>
        <v>3169899</v>
      </c>
      <c r="L86">
        <f>[1]!'NQ.EQNQ.2265998@trade_count'</f>
        <v>0</v>
      </c>
      <c r="M86" t="str">
        <f>[1]!'NQ.EQNQ.2265998@prc_ql_cd'</f>
        <v>CONT</v>
      </c>
      <c r="N86" t="str">
        <f>[1]!'NQ.EQNQ.2265998@trade_time'</f>
        <v>22.00.00</v>
      </c>
    </row>
    <row r="87" spans="1:14" x14ac:dyDescent="0.3">
      <c r="A87" t="str">
        <f>[1]!'NQ.EQNQ.829875@symbol'</f>
        <v>SIRI</v>
      </c>
      <c r="B87" t="str">
        <f>[1]!'NQ.EQNQ.829875@instrument_name'</f>
        <v>SIRIUS XM HLDGS-ORD SHS</v>
      </c>
      <c r="C87" t="str">
        <f>[1]!'NQ.EQNQ.829875@exchange_name'</f>
        <v>NASDAQ</v>
      </c>
      <c r="D87">
        <f>[1]!'NQ.EQNQ.829875@last_price'</f>
        <v>6.1050000000000004</v>
      </c>
      <c r="E87">
        <f>[1]!'NQ.EQNQ.829875@percentage_change'</f>
        <v>-0.25</v>
      </c>
      <c r="F87">
        <f>[1]!'NQ.EQNQ.829875@best_bsiz1'</f>
        <v>20000</v>
      </c>
      <c r="G87">
        <f>[1]!'NQ.EQNQ.829875@best_bid1'</f>
        <v>6.09</v>
      </c>
      <c r="H87">
        <f>[1]!'NQ.EQNQ.829875@best_ask1'</f>
        <v>6.11</v>
      </c>
      <c r="I87">
        <f>[1]!'NQ.EQNQ.829875@best_asiz1'</f>
        <v>6100</v>
      </c>
      <c r="J87" t="str">
        <f>[1]!'NQ.EQNQ.829875@lst_prctck'</f>
        <v>- - - + +</v>
      </c>
      <c r="K87">
        <f>[1]!'NQ.EQNQ.829875@trade_volume_bi'</f>
        <v>29469495</v>
      </c>
      <c r="L87">
        <f>[1]!'NQ.EQNQ.829875@trade_count'</f>
        <v>0</v>
      </c>
      <c r="M87" t="str">
        <f>[1]!'NQ.EQNQ.829875@prc_ql_cd'</f>
        <v>CONT</v>
      </c>
      <c r="N87" t="str">
        <f>[1]!'NQ.EQNQ.829875@trade_time'</f>
        <v>22.00.00</v>
      </c>
    </row>
    <row r="88" spans="1:14" x14ac:dyDescent="0.3">
      <c r="A88" t="str">
        <f>[1]!'NQ.EQNQ.49518@symbol'</f>
        <v>SWKS</v>
      </c>
      <c r="B88" t="str">
        <f>[1]!'NQ.EQNQ.49518@instrument_name'</f>
        <v>SKYWORKS SOLUTIONS</v>
      </c>
      <c r="C88" t="str">
        <f>[1]!'NQ.EQNQ.49518@exchange_name'</f>
        <v>NASDAQ</v>
      </c>
      <c r="D88">
        <f>[1]!'NQ.EQNQ.49518@last_price'</f>
        <v>178.95</v>
      </c>
      <c r="E88">
        <f>[1]!'NQ.EQNQ.49518@percentage_change'</f>
        <v>-0.08</v>
      </c>
      <c r="F88">
        <f>[1]!'NQ.EQNQ.49518@best_bsiz1'</f>
        <v>100</v>
      </c>
      <c r="G88">
        <f>[1]!'NQ.EQNQ.49518@best_bid1'</f>
        <v>178.51</v>
      </c>
      <c r="H88">
        <f>[1]!'NQ.EQNQ.49518@best_ask1'</f>
        <v>179.15</v>
      </c>
      <c r="I88">
        <f>[1]!'NQ.EQNQ.49518@best_asiz1'</f>
        <v>300</v>
      </c>
      <c r="J88" t="str">
        <f>[1]!'NQ.EQNQ.49518@lst_prctck'</f>
        <v>+ - + - -</v>
      </c>
      <c r="K88">
        <f>[1]!'NQ.EQNQ.49518@trade_volume_bi'</f>
        <v>2423570</v>
      </c>
      <c r="L88">
        <f>[1]!'NQ.EQNQ.49518@trade_count'</f>
        <v>0</v>
      </c>
      <c r="M88" t="str">
        <f>[1]!'NQ.EQNQ.49518@prc_ql_cd'</f>
        <v>CONT</v>
      </c>
      <c r="N88" t="str">
        <f>[1]!'NQ.EQNQ.49518@trade_time'</f>
        <v>22.00.00</v>
      </c>
    </row>
    <row r="89" spans="1:14" x14ac:dyDescent="0.3">
      <c r="A89" t="str">
        <f>[1]!'NQ.EQNQ.693327@symbol'</f>
        <v>SPLK</v>
      </c>
      <c r="B89" t="str">
        <f>[1]!'NQ.EQNQ.693327@instrument_name'</f>
        <v>SPLUNK-ORD SHS-USD</v>
      </c>
      <c r="C89" t="str">
        <f>[1]!'NQ.EQNQ.693327@exchange_name'</f>
        <v>NASDAQ</v>
      </c>
      <c r="D89">
        <f>[1]!'NQ.EQNQ.693327@last_price'</f>
        <v>170.24</v>
      </c>
      <c r="E89">
        <f>[1]!'NQ.EQNQ.693327@percentage_change'</f>
        <v>-1.17</v>
      </c>
      <c r="F89">
        <f>[1]!'NQ.EQNQ.693327@best_bsiz1'</f>
        <v>100</v>
      </c>
      <c r="G89">
        <f>[1]!'NQ.EQNQ.693327@best_bid1'</f>
        <v>170.26</v>
      </c>
      <c r="H89">
        <f>[1]!'NQ.EQNQ.693327@best_ask1'</f>
        <v>170.74</v>
      </c>
      <c r="I89">
        <f>[1]!'NQ.EQNQ.693327@best_asiz1'</f>
        <v>100</v>
      </c>
      <c r="J89" t="str">
        <f>[1]!'NQ.EQNQ.693327@lst_prctck'</f>
        <v>+ + - + +</v>
      </c>
      <c r="K89">
        <f>[1]!'NQ.EQNQ.693327@trade_volume_bi'</f>
        <v>2569118</v>
      </c>
      <c r="L89">
        <f>[1]!'NQ.EQNQ.693327@trade_count'</f>
        <v>0</v>
      </c>
      <c r="M89" t="str">
        <f>[1]!'NQ.EQNQ.693327@prc_ql_cd'</f>
        <v>CONT</v>
      </c>
      <c r="N89" t="str">
        <f>[1]!'NQ.EQNQ.693327@trade_time'</f>
        <v>22.00.00</v>
      </c>
    </row>
    <row r="90" spans="1:14" x14ac:dyDescent="0.3">
      <c r="A90" t="str">
        <f>[1]!'NQ.EQNQ.2264@symbol'</f>
        <v>SBUX</v>
      </c>
      <c r="B90" t="str">
        <f>[1]!'NQ.EQNQ.2264@instrument_name'</f>
        <v>STARBUCKS CORP</v>
      </c>
      <c r="C90" t="str">
        <f>[1]!'NQ.EQNQ.2264@exchange_name'</f>
        <v>NASDAQ</v>
      </c>
      <c r="D90">
        <f>[1]!'NQ.EQNQ.2264@last_price'</f>
        <v>106.48</v>
      </c>
      <c r="E90">
        <f>[1]!'NQ.EQNQ.2264@percentage_change'</f>
        <v>2.74</v>
      </c>
      <c r="F90">
        <f>[1]!'NQ.EQNQ.2264@best_bsiz1'</f>
        <v>100</v>
      </c>
      <c r="G90">
        <f>[1]!'NQ.EQNQ.2264@best_bid1'</f>
        <v>106.53</v>
      </c>
      <c r="H90">
        <f>[1]!'NQ.EQNQ.2264@best_ask1'</f>
        <v>106.79</v>
      </c>
      <c r="I90">
        <f>[1]!'NQ.EQNQ.2264@best_asiz1'</f>
        <v>100</v>
      </c>
      <c r="J90" t="str">
        <f>[1]!'NQ.EQNQ.2264@lst_prctck'</f>
        <v>+ + - + -</v>
      </c>
      <c r="K90">
        <f>[1]!'NQ.EQNQ.2264@trade_volume_bi'</f>
        <v>8057579</v>
      </c>
      <c r="L90">
        <f>[1]!'NQ.EQNQ.2264@trade_count'</f>
        <v>0</v>
      </c>
      <c r="M90" t="str">
        <f>[1]!'NQ.EQNQ.2264@prc_ql_cd'</f>
        <v>CONT</v>
      </c>
      <c r="N90" t="str">
        <f>[1]!'NQ.EQNQ.2264@trade_time'</f>
        <v>22.00.00</v>
      </c>
    </row>
    <row r="91" spans="1:14" x14ac:dyDescent="0.3">
      <c r="A91" t="str">
        <f>[1]!'NQ.EQNQ.12921@symbol'</f>
        <v>SNPS</v>
      </c>
      <c r="B91" t="str">
        <f>[1]!'NQ.EQNQ.12921@instrument_name'</f>
        <v>SYNOPSYS</v>
      </c>
      <c r="C91" t="str">
        <f>[1]!'NQ.EQNQ.12921@exchange_name'</f>
        <v>NASDAQ</v>
      </c>
      <c r="D91">
        <f>[1]!'NQ.EQNQ.12921@last_price'</f>
        <v>272.92</v>
      </c>
      <c r="E91">
        <f>[1]!'NQ.EQNQ.12921@percentage_change'</f>
        <v>1.05</v>
      </c>
      <c r="F91">
        <f>[1]!'NQ.EQNQ.12921@best_bsiz1'</f>
        <v>100</v>
      </c>
      <c r="G91">
        <f>[1]!'NQ.EQNQ.12921@best_bid1'</f>
        <v>267.2</v>
      </c>
      <c r="H91">
        <f>[1]!'NQ.EQNQ.12921@best_ask1'</f>
        <v>274.58999999999997</v>
      </c>
      <c r="I91">
        <f>[1]!'NQ.EQNQ.12921@best_asiz1'</f>
        <v>100</v>
      </c>
      <c r="J91" t="str">
        <f>[1]!'NQ.EQNQ.12921@lst_prctck'</f>
        <v>- - + + +</v>
      </c>
      <c r="K91">
        <f>[1]!'NQ.EQNQ.12921@trade_volume_bi'</f>
        <v>600621</v>
      </c>
      <c r="L91">
        <f>[1]!'NQ.EQNQ.12921@trade_count'</f>
        <v>0</v>
      </c>
      <c r="M91" t="str">
        <f>[1]!'NQ.EQNQ.12921@prc_ql_cd'</f>
        <v>CONT</v>
      </c>
      <c r="N91" t="str">
        <f>[1]!'NQ.EQNQ.12921@trade_time'</f>
        <v>22.00.00</v>
      </c>
    </row>
    <row r="92" spans="1:14" x14ac:dyDescent="0.3">
      <c r="A92" t="str">
        <f>[1]!'NQ.EQNQ.793852@symbol'</f>
        <v>TMUS</v>
      </c>
      <c r="B92" t="str">
        <f>[1]!'NQ.EQNQ.793852@instrument_name'</f>
        <v>T-MOBILE US-ORD SHS</v>
      </c>
      <c r="C92" t="str">
        <f>[1]!'NQ.EQNQ.793852@exchange_name'</f>
        <v>NASDAQ</v>
      </c>
      <c r="D92">
        <f>[1]!'NQ.EQNQ.793852@last_price'</f>
        <v>125.28</v>
      </c>
      <c r="E92">
        <f>[1]!'NQ.EQNQ.793852@percentage_change'</f>
        <v>-4.07</v>
      </c>
      <c r="F92">
        <f>[1]!'NQ.EQNQ.793852@best_bsiz1'</f>
        <v>100</v>
      </c>
      <c r="G92">
        <f>[1]!'NQ.EQNQ.793852@best_bid1'</f>
        <v>125.6</v>
      </c>
      <c r="H92">
        <f>[1]!'NQ.EQNQ.793852@best_ask1'</f>
        <v>125.95</v>
      </c>
      <c r="I92">
        <f>[1]!'NQ.EQNQ.793852@best_asiz1'</f>
        <v>400</v>
      </c>
      <c r="J92" t="str">
        <f>[1]!'NQ.EQNQ.793852@lst_prctck'</f>
        <v>+ + + - +</v>
      </c>
      <c r="K92">
        <f>[1]!'NQ.EQNQ.793852@trade_volume_bi'</f>
        <v>10305241</v>
      </c>
      <c r="L92">
        <f>[1]!'NQ.EQNQ.793852@trade_count'</f>
        <v>0</v>
      </c>
      <c r="M92" t="str">
        <f>[1]!'NQ.EQNQ.793852@prc_ql_cd'</f>
        <v>CONT</v>
      </c>
      <c r="N92" t="str">
        <f>[1]!'NQ.EQNQ.793852@trade_time'</f>
        <v>22.00.00</v>
      </c>
    </row>
    <row r="93" spans="1:14" x14ac:dyDescent="0.3">
      <c r="A93" t="str">
        <f>[1]!'NQ.EQNQ.297956@symbol'</f>
        <v>TSLA</v>
      </c>
      <c r="B93" t="str">
        <f>[1]!'NQ.EQNQ.297956@instrument_name'</f>
        <v>TESLA INC-ORD SHS</v>
      </c>
      <c r="C93" t="str">
        <f>[1]!'NQ.EQNQ.297956@exchange_name'</f>
        <v>NASDAQ</v>
      </c>
      <c r="D93">
        <f>[1]!'NQ.EQNQ.297956@last_price'</f>
        <v>852.23</v>
      </c>
      <c r="E93">
        <f>[1]!'NQ.EQNQ.297956@percentage_change'</f>
        <v>0.26</v>
      </c>
      <c r="F93">
        <f>[1]!'NQ.EQNQ.297956@best_bsiz1'</f>
        <v>9600</v>
      </c>
      <c r="G93">
        <f>[1]!'NQ.EQNQ.297956@best_bid1'</f>
        <v>852</v>
      </c>
      <c r="H93">
        <f>[1]!'NQ.EQNQ.297956@best_ask1'</f>
        <v>852.45</v>
      </c>
      <c r="I93">
        <f>[1]!'NQ.EQNQ.297956@best_asiz1'</f>
        <v>100</v>
      </c>
      <c r="J93" t="str">
        <f>[1]!'NQ.EQNQ.297956@lst_prctck'</f>
        <v>- - + + -</v>
      </c>
      <c r="K93">
        <f>[1]!'NQ.EQNQ.297956@trade_volume_bi'</f>
        <v>17955373</v>
      </c>
      <c r="L93">
        <f>[1]!'NQ.EQNQ.297956@trade_count'</f>
        <v>0</v>
      </c>
      <c r="M93" t="str">
        <f>[1]!'NQ.EQNQ.297956@prc_ql_cd'</f>
        <v>CONT</v>
      </c>
      <c r="N93" t="str">
        <f>[1]!'NQ.EQNQ.297956@trade_time'</f>
        <v>22.00.00</v>
      </c>
    </row>
    <row r="94" spans="1:14" x14ac:dyDescent="0.3">
      <c r="A94" t="str">
        <f>[1]!'NQ.EQNQ.556@symbol'</f>
        <v>TXN</v>
      </c>
      <c r="B94" t="str">
        <f>[1]!'NQ.EQNQ.556@instrument_name'</f>
        <v>TEXAS INSTRUMENTS INC.</v>
      </c>
      <c r="C94" t="str">
        <f>[1]!'NQ.EQNQ.556@exchange_name'</f>
        <v>NASDAQ</v>
      </c>
      <c r="D94">
        <f>[1]!'NQ.EQNQ.556@last_price'</f>
        <v>169.93</v>
      </c>
      <c r="E94">
        <f>[1]!'NQ.EQNQ.556@percentage_change'</f>
        <v>-1.2</v>
      </c>
      <c r="F94">
        <f>[1]!'NQ.EQNQ.556@best_bsiz1'</f>
        <v>200</v>
      </c>
      <c r="G94">
        <f>[1]!'NQ.EQNQ.556@best_bid1'</f>
        <v>169.96</v>
      </c>
      <c r="H94">
        <f>[1]!'NQ.EQNQ.556@best_ask1'</f>
        <v>170.04</v>
      </c>
      <c r="I94">
        <f>[1]!'NQ.EQNQ.556@best_asiz1'</f>
        <v>100</v>
      </c>
      <c r="J94" t="str">
        <f>[1]!'NQ.EQNQ.556@lst_prctck'</f>
        <v>- - - + -</v>
      </c>
      <c r="K94">
        <f>[1]!'NQ.EQNQ.556@trade_volume_bi'</f>
        <v>3792047</v>
      </c>
      <c r="L94">
        <f>[1]!'NQ.EQNQ.556@trade_count'</f>
        <v>0</v>
      </c>
      <c r="M94" t="str">
        <f>[1]!'NQ.EQNQ.556@prc_ql_cd'</f>
        <v>CONT</v>
      </c>
      <c r="N94" t="str">
        <f>[1]!'NQ.EQNQ.556@trade_time'</f>
        <v>22.00.00</v>
      </c>
    </row>
    <row r="95" spans="1:14" x14ac:dyDescent="0.3">
      <c r="A95" t="str">
        <f>[1]!'NQ.EQNQ.975397@symbol'</f>
        <v>KHC</v>
      </c>
      <c r="B95" t="str">
        <f>[1]!'NQ.EQNQ.975397@instrument_name'</f>
        <v>THE KRAFT HEINZ SHS</v>
      </c>
      <c r="C95" t="str">
        <f>[1]!'NQ.EQNQ.975397@exchange_name'</f>
        <v>NASDAQ</v>
      </c>
      <c r="D95">
        <f>[1]!'NQ.EQNQ.975397@last_price'</f>
        <v>33.799999999999997</v>
      </c>
      <c r="E95">
        <f>[1]!'NQ.EQNQ.975397@percentage_change'</f>
        <v>2.67</v>
      </c>
      <c r="F95">
        <f>[1]!'NQ.EQNQ.975397@best_bsiz1'</f>
        <v>300</v>
      </c>
      <c r="G95">
        <f>[1]!'NQ.EQNQ.975397@best_bid1'</f>
        <v>33.83</v>
      </c>
      <c r="H95">
        <f>[1]!'NQ.EQNQ.975397@best_ask1'</f>
        <v>33.96</v>
      </c>
      <c r="I95">
        <f>[1]!'NQ.EQNQ.975397@best_asiz1'</f>
        <v>200</v>
      </c>
      <c r="J95" t="str">
        <f>[1]!'NQ.EQNQ.975397@lst_prctck'</f>
        <v>- - + + -</v>
      </c>
      <c r="K95">
        <f>[1]!'NQ.EQNQ.975397@trade_volume_bi'</f>
        <v>7829401</v>
      </c>
      <c r="L95">
        <f>[1]!'NQ.EQNQ.975397@trade_count'</f>
        <v>0</v>
      </c>
      <c r="M95" t="str">
        <f>[1]!'NQ.EQNQ.975397@prc_ql_cd'</f>
        <v>CONT</v>
      </c>
      <c r="N95" t="str">
        <f>[1]!'NQ.EQNQ.975397@trade_time'</f>
        <v>22.00.00</v>
      </c>
    </row>
    <row r="96" spans="1:14" x14ac:dyDescent="0.3">
      <c r="A96" t="str">
        <f>[1]!'NQ.EQNQ.2094555@symbol'</f>
        <v>TCOM</v>
      </c>
      <c r="B96" t="str">
        <f>[1]!'NQ.EQNQ.2094555@instrument_name'</f>
        <v>TRIP COM GROUP LIMITED USD</v>
      </c>
      <c r="C96" t="str">
        <f>[1]!'NQ.EQNQ.2094555@exchange_name'</f>
        <v>NASDAQ</v>
      </c>
      <c r="D96">
        <f>[1]!'NQ.EQNQ.2094555@last_price'</f>
        <v>34.92</v>
      </c>
      <c r="E96">
        <f>[1]!'NQ.EQNQ.2094555@percentage_change'</f>
        <v>6.5</v>
      </c>
      <c r="F96">
        <f>[1]!'NQ.EQNQ.2094555@best_bsiz1'</f>
        <v>200</v>
      </c>
      <c r="G96">
        <f>[1]!'NQ.EQNQ.2094555@best_bid1'</f>
        <v>34.83</v>
      </c>
      <c r="H96">
        <f>[1]!'NQ.EQNQ.2094555@best_ask1'</f>
        <v>35</v>
      </c>
      <c r="I96">
        <f>[1]!'NQ.EQNQ.2094555@best_asiz1'</f>
        <v>2000</v>
      </c>
      <c r="J96" t="str">
        <f>[1]!'NQ.EQNQ.2094555@lst_prctck'</f>
        <v>+ + - - +</v>
      </c>
      <c r="K96">
        <f>[1]!'NQ.EQNQ.2094555@trade_volume_bi'</f>
        <v>6017598</v>
      </c>
      <c r="L96">
        <f>[1]!'NQ.EQNQ.2094555@trade_count'</f>
        <v>0</v>
      </c>
      <c r="M96" t="str">
        <f>[1]!'NQ.EQNQ.2094555@prc_ql_cd'</f>
        <v>CONT</v>
      </c>
      <c r="N96" t="str">
        <f>[1]!'NQ.EQNQ.2094555@trade_time'</f>
        <v>22.00.01</v>
      </c>
    </row>
    <row r="97" spans="1:14" x14ac:dyDescent="0.3">
      <c r="A97" t="str">
        <f>[1]!'NQ.EQNQ.931@symbol'</f>
        <v>VRSN</v>
      </c>
      <c r="B97" t="str">
        <f>[1]!'NQ.EQNQ.931@instrument_name'</f>
        <v>VERISIGN INC.</v>
      </c>
      <c r="C97" t="str">
        <f>[1]!'NQ.EQNQ.931@exchange_name'</f>
        <v>NASDAQ</v>
      </c>
      <c r="D97">
        <f>[1]!'NQ.EQNQ.931@last_price'</f>
        <v>199.52</v>
      </c>
      <c r="E97">
        <f>[1]!'NQ.EQNQ.931@percentage_change'</f>
        <v>0.11</v>
      </c>
      <c r="F97">
        <f>[1]!'NQ.EQNQ.931@best_bsiz1'</f>
        <v>200</v>
      </c>
      <c r="G97">
        <f>[1]!'NQ.EQNQ.931@best_bid1'</f>
        <v>194.9</v>
      </c>
      <c r="H97">
        <f>[1]!'NQ.EQNQ.931@best_ask1'</f>
        <v>199.5</v>
      </c>
      <c r="I97">
        <f>[1]!'NQ.EQNQ.931@best_asiz1'</f>
        <v>100</v>
      </c>
      <c r="J97" t="str">
        <f>[1]!'NQ.EQNQ.931@lst_prctck'</f>
        <v>- + - + +</v>
      </c>
      <c r="K97">
        <f>[1]!'NQ.EQNQ.931@trade_volume_bi'</f>
        <v>491054</v>
      </c>
      <c r="L97">
        <f>[1]!'NQ.EQNQ.931@trade_count'</f>
        <v>0</v>
      </c>
      <c r="M97" t="str">
        <f>[1]!'NQ.EQNQ.931@prc_ql_cd'</f>
        <v>CONT</v>
      </c>
      <c r="N97" t="str">
        <f>[1]!'NQ.EQNQ.931@trade_time'</f>
        <v>22.00.01</v>
      </c>
    </row>
    <row r="98" spans="1:14" x14ac:dyDescent="0.3">
      <c r="A98" t="str">
        <f>[1]!'NQ.EQNQ.1730204@symbol'</f>
        <v>VRSK</v>
      </c>
      <c r="B98" t="str">
        <f>[1]!'NQ.EQNQ.1730204@instrument_name'</f>
        <v>VERISK ANALYTICS-ORD SHS CL A</v>
      </c>
      <c r="C98" t="str">
        <f>[1]!'NQ.EQNQ.1730204@exchange_name'</f>
        <v>NASDAQ</v>
      </c>
      <c r="D98">
        <f>[1]!'NQ.EQNQ.1730204@last_price'</f>
        <v>187.43</v>
      </c>
      <c r="E98">
        <f>[1]!'NQ.EQNQ.1730204@percentage_change'</f>
        <v>-0.51</v>
      </c>
      <c r="F98">
        <f>[1]!'NQ.EQNQ.1730204@best_bsiz1'</f>
        <v>200</v>
      </c>
      <c r="G98">
        <f>[1]!'NQ.EQNQ.1730204@best_bid1'</f>
        <v>185.01</v>
      </c>
      <c r="H98">
        <f>[1]!'NQ.EQNQ.1730204@best_ask1'</f>
        <v>187.98</v>
      </c>
      <c r="I98">
        <f>[1]!'NQ.EQNQ.1730204@best_asiz1'</f>
        <v>200</v>
      </c>
      <c r="J98" t="str">
        <f>[1]!'NQ.EQNQ.1730204@lst_prctck'</f>
        <v>+ - - + -</v>
      </c>
      <c r="K98">
        <f>[1]!'NQ.EQNQ.1730204@trade_volume_bi'</f>
        <v>684197</v>
      </c>
      <c r="L98">
        <f>[1]!'NQ.EQNQ.1730204@trade_count'</f>
        <v>0</v>
      </c>
      <c r="M98" t="str">
        <f>[1]!'NQ.EQNQ.1730204@prc_ql_cd'</f>
        <v>CONT</v>
      </c>
      <c r="N98" t="str">
        <f>[1]!'NQ.EQNQ.1730204@trade_time'</f>
        <v>22.00.00</v>
      </c>
    </row>
    <row r="99" spans="1:14" x14ac:dyDescent="0.3">
      <c r="A99" t="str">
        <f>[1]!'NQ.EQNQ.6658@symbol'</f>
        <v>VRTX</v>
      </c>
      <c r="B99" t="str">
        <f>[1]!'NQ.EQNQ.6658@instrument_name'</f>
        <v>VERTEX PHARMACEUTIC</v>
      </c>
      <c r="C99" t="str">
        <f>[1]!'NQ.EQNQ.6658@exchange_name'</f>
        <v>NASDAQ</v>
      </c>
      <c r="D99">
        <f>[1]!'NQ.EQNQ.6658@last_price'</f>
        <v>215.26</v>
      </c>
      <c r="E99">
        <f>[1]!'NQ.EQNQ.6658@percentage_change'</f>
        <v>0.73</v>
      </c>
      <c r="F99">
        <f>[1]!'NQ.EQNQ.6658@best_bsiz1'</f>
        <v>100</v>
      </c>
      <c r="G99">
        <f>[1]!'NQ.EQNQ.6658@best_bid1'</f>
        <v>214</v>
      </c>
      <c r="H99">
        <f>[1]!'NQ.EQNQ.6658@best_ask1'</f>
        <v>215.42</v>
      </c>
      <c r="I99">
        <f>[1]!'NQ.EQNQ.6658@best_asiz1'</f>
        <v>100</v>
      </c>
      <c r="J99" t="str">
        <f>[1]!'NQ.EQNQ.6658@lst_prctck'</f>
        <v>- + - - +</v>
      </c>
      <c r="K99">
        <f>[1]!'NQ.EQNQ.6658@trade_volume_bi'</f>
        <v>2682952</v>
      </c>
      <c r="L99">
        <f>[1]!'NQ.EQNQ.6658@trade_count'</f>
        <v>0</v>
      </c>
      <c r="M99" t="str">
        <f>[1]!'NQ.EQNQ.6658@prc_ql_cd'</f>
        <v>CONT</v>
      </c>
      <c r="N99" t="str">
        <f>[1]!'NQ.EQNQ.6658@trade_time'</f>
        <v>22.00.00</v>
      </c>
    </row>
    <row r="100" spans="1:14" x14ac:dyDescent="0.3">
      <c r="A100" t="str">
        <f>[1]!'NQ.EQNQ.932073@symbol'</f>
        <v>WBA</v>
      </c>
      <c r="B100" t="str">
        <f>[1]!'NQ.EQNQ.932073@instrument_name'</f>
        <v>WALGREENS BOOTS ALLIANCE-ORD SHS</v>
      </c>
      <c r="C100" t="str">
        <f>[1]!'NQ.EQNQ.932073@exchange_name'</f>
        <v>NASDAQ</v>
      </c>
      <c r="D100">
        <f>[1]!'NQ.EQNQ.932073@last_price'</f>
        <v>49.81</v>
      </c>
      <c r="E100">
        <f>[1]!'NQ.EQNQ.932073@percentage_change'</f>
        <v>1.1000000000000001</v>
      </c>
      <c r="F100">
        <f>[1]!'NQ.EQNQ.932073@best_bsiz1'</f>
        <v>200</v>
      </c>
      <c r="G100">
        <f>[1]!'NQ.EQNQ.932073@best_bid1'</f>
        <v>49.8</v>
      </c>
      <c r="H100">
        <f>[1]!'NQ.EQNQ.932073@best_ask1'</f>
        <v>49.85</v>
      </c>
      <c r="I100">
        <f>[1]!'NQ.EQNQ.932073@best_asiz1'</f>
        <v>100</v>
      </c>
      <c r="J100" t="str">
        <f>[1]!'NQ.EQNQ.932073@lst_prctck'</f>
        <v>- + - - -</v>
      </c>
      <c r="K100">
        <f>[1]!'NQ.EQNQ.932073@trade_volume_bi'</f>
        <v>4281303</v>
      </c>
      <c r="L100">
        <f>[1]!'NQ.EQNQ.932073@trade_count'</f>
        <v>0</v>
      </c>
      <c r="M100" t="str">
        <f>[1]!'NQ.EQNQ.932073@prc_ql_cd'</f>
        <v>CONT</v>
      </c>
      <c r="N100" t="str">
        <f>[1]!'NQ.EQNQ.932073@trade_time'</f>
        <v>22.00.00</v>
      </c>
    </row>
    <row r="101" spans="1:14" x14ac:dyDescent="0.3">
      <c r="A101" t="str">
        <f>[1]!'NQ.EQNQ.1050826@symbol'</f>
        <v>WDAY</v>
      </c>
      <c r="B101" t="str">
        <f>[1]!'NQ.EQNQ.1050826@instrument_name'</f>
        <v>WORKDAY-ORD SHS CL A</v>
      </c>
      <c r="C101" t="str">
        <f>[1]!'NQ.EQNQ.1050826@exchange_name'</f>
        <v>NASDAQ</v>
      </c>
      <c r="D101">
        <f>[1]!'NQ.EQNQ.1050826@last_price'</f>
        <v>263.95</v>
      </c>
      <c r="E101">
        <f>[1]!'NQ.EQNQ.1050826@percentage_change'</f>
        <v>-0.09</v>
      </c>
      <c r="F101">
        <f>[1]!'NQ.EQNQ.1050826@best_bsiz1'</f>
        <v>100</v>
      </c>
      <c r="G101">
        <f>[1]!'NQ.EQNQ.1050826@best_bid1'</f>
        <v>263.31</v>
      </c>
      <c r="H101">
        <f>[1]!'NQ.EQNQ.1050826@best_ask1'</f>
        <v>265.99</v>
      </c>
      <c r="I101">
        <f>[1]!'NQ.EQNQ.1050826@best_asiz1'</f>
        <v>100</v>
      </c>
      <c r="J101" t="str">
        <f>[1]!'NQ.EQNQ.1050826@lst_prctck'</f>
        <v>- + + - +</v>
      </c>
      <c r="K101">
        <f>[1]!'NQ.EQNQ.1050826@trade_volume_bi'</f>
        <v>1842253</v>
      </c>
      <c r="L101">
        <f>[1]!'NQ.EQNQ.1050826@trade_count'</f>
        <v>0</v>
      </c>
      <c r="M101" t="str">
        <f>[1]!'NQ.EQNQ.1050826@prc_ql_cd'</f>
        <v>CONT</v>
      </c>
      <c r="N101" t="str">
        <f>[1]!'NQ.EQNQ.1050826@trade_time'</f>
        <v>22.00.01</v>
      </c>
    </row>
    <row r="102" spans="1:14" x14ac:dyDescent="0.3">
      <c r="A102" t="str">
        <f>[1]!'NQ.EQNQ.19122@symbol'</f>
        <v>XEL</v>
      </c>
      <c r="B102" t="str">
        <f>[1]!'NQ.EQNQ.19122@instrument_name'</f>
        <v>XCEL ENERGY</v>
      </c>
      <c r="C102" t="str">
        <f>[1]!'NQ.EQNQ.19122@exchange_name'</f>
        <v>NASDAQ</v>
      </c>
      <c r="D102">
        <f>[1]!'NQ.EQNQ.19122@last_price'</f>
        <v>63.44</v>
      </c>
      <c r="E102">
        <f>[1]!'NQ.EQNQ.19122@percentage_change'</f>
        <v>-0.24</v>
      </c>
      <c r="F102">
        <f>[1]!'NQ.EQNQ.19122@best_bsiz1'</f>
        <v>400</v>
      </c>
      <c r="G102">
        <f>[1]!'NQ.EQNQ.19122@best_bid1'</f>
        <v>63.29</v>
      </c>
      <c r="H102">
        <f>[1]!'NQ.EQNQ.19122@best_ask1'</f>
        <v>63.9</v>
      </c>
      <c r="I102">
        <f>[1]!'NQ.EQNQ.19122@best_asiz1'</f>
        <v>400</v>
      </c>
      <c r="J102" t="str">
        <f>[1]!'NQ.EQNQ.19122@lst_prctck'</f>
        <v>- + + - -</v>
      </c>
      <c r="K102">
        <f>[1]!'NQ.EQNQ.19122@trade_volume_bi'</f>
        <v>1567501</v>
      </c>
      <c r="L102">
        <f>[1]!'NQ.EQNQ.19122@trade_count'</f>
        <v>0</v>
      </c>
      <c r="M102" t="str">
        <f>[1]!'NQ.EQNQ.19122@prc_ql_cd'</f>
        <v>CONT</v>
      </c>
      <c r="N102" t="str">
        <f>[1]!'NQ.EQNQ.19122@trade_time'</f>
        <v>22.00.00</v>
      </c>
    </row>
    <row r="103" spans="1:14" x14ac:dyDescent="0.3">
      <c r="A103" t="str">
        <f>[1]!'NQ.EQNQ.828@symbol'</f>
        <v>XLNX</v>
      </c>
      <c r="B103" t="str">
        <f>[1]!'NQ.EQNQ.828@instrument_name'</f>
        <v>XILINX INC.</v>
      </c>
      <c r="C103" t="str">
        <f>[1]!'NQ.EQNQ.828@exchange_name'</f>
        <v>NASDAQ</v>
      </c>
      <c r="D103">
        <f>[1]!'NQ.EQNQ.828@last_price'</f>
        <v>136.47999999999999</v>
      </c>
      <c r="E103">
        <f>[1]!'NQ.EQNQ.828@percentage_change'</f>
        <v>0.15</v>
      </c>
      <c r="F103">
        <f>[1]!'NQ.EQNQ.828@best_bsiz1'</f>
        <v>100</v>
      </c>
      <c r="G103">
        <f>[1]!'NQ.EQNQ.828@best_bid1'</f>
        <v>135.02000000000001</v>
      </c>
      <c r="H103">
        <f>[1]!'NQ.EQNQ.828@best_ask1'</f>
        <v>136.99</v>
      </c>
      <c r="I103">
        <f>[1]!'NQ.EQNQ.828@best_asiz1'</f>
        <v>100</v>
      </c>
      <c r="J103" t="str">
        <f>[1]!'NQ.EQNQ.828@lst_prctck'</f>
        <v>+ + + - -</v>
      </c>
      <c r="K103">
        <f>[1]!'NQ.EQNQ.828@trade_volume_bi'</f>
        <v>1915067</v>
      </c>
      <c r="L103">
        <f>[1]!'NQ.EQNQ.828@trade_count'</f>
        <v>0</v>
      </c>
      <c r="M103" t="str">
        <f>[1]!'NQ.EQNQ.828@prc_ql_cd'</f>
        <v>CONT</v>
      </c>
      <c r="N103" t="str">
        <f>[1]!'NQ.EQNQ.828@trade_time'</f>
        <v>22.00.00</v>
      </c>
    </row>
    <row r="104" spans="1:14" x14ac:dyDescent="0.3">
      <c r="A104" t="str">
        <f>[1]!'NQ.EQNQ.2012987@symbol'</f>
        <v>ZM</v>
      </c>
      <c r="B104" t="str">
        <f>[1]!'NQ.EQNQ.2012987@instrument_name'</f>
        <v>ZOOM VID COMMU RG-A REGISTERED SHS -A-</v>
      </c>
      <c r="C104" t="str">
        <f>[1]!'NQ.EQNQ.2012987@exchange_name'</f>
        <v>NASDAQ</v>
      </c>
      <c r="D104">
        <f>[1]!'NQ.EQNQ.2012987@last_price'</f>
        <v>419.59</v>
      </c>
      <c r="E104">
        <f>[1]!'NQ.EQNQ.2012987@percentage_change'</f>
        <v>7.59</v>
      </c>
      <c r="F104">
        <f>[1]!'NQ.EQNQ.2012987@best_bsiz1'</f>
        <v>400</v>
      </c>
      <c r="G104">
        <f>[1]!'NQ.EQNQ.2012987@best_bid1'</f>
        <v>419.65</v>
      </c>
      <c r="H104">
        <f>[1]!'NQ.EQNQ.2012987@best_ask1'</f>
        <v>419.85</v>
      </c>
      <c r="I104">
        <f>[1]!'NQ.EQNQ.2012987@best_asiz1'</f>
        <v>200</v>
      </c>
      <c r="J104" t="str">
        <f>[1]!'NQ.EQNQ.2012987@lst_prctck'</f>
        <v>- - + - -</v>
      </c>
      <c r="K104">
        <f>[1]!'NQ.EQNQ.2012987@trade_volume_bi'</f>
        <v>9709244</v>
      </c>
      <c r="L104">
        <f>[1]!'NQ.EQNQ.2012987@trade_count'</f>
        <v>0</v>
      </c>
      <c r="M104" t="str">
        <f>[1]!'NQ.EQNQ.2012987@prc_ql_cd'</f>
        <v>CONT</v>
      </c>
      <c r="N104" t="str">
        <f>[1]!'NQ.EQNQ.2012987@trade_time'</f>
        <v>22.00.00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M1224"/>
  <sheetViews>
    <sheetView tabSelected="1" workbookViewId="0">
      <selection activeCell="U77" sqref="U77"/>
    </sheetView>
  </sheetViews>
  <sheetFormatPr defaultRowHeight="14.4" x14ac:dyDescent="0.3"/>
  <sheetData>
    <row r="1" spans="1:13" x14ac:dyDescent="0.3">
      <c r="A1" t="s">
        <v>15</v>
      </c>
      <c r="B1" t="s">
        <v>15</v>
      </c>
      <c r="C1" t="s">
        <v>15</v>
      </c>
      <c r="D1" t="s">
        <v>15</v>
      </c>
      <c r="E1" t="s">
        <v>15</v>
      </c>
      <c r="F1" t="s">
        <v>15</v>
      </c>
      <c r="G1" t="s">
        <v>15</v>
      </c>
      <c r="H1" t="s">
        <v>15</v>
      </c>
      <c r="I1" t="s">
        <v>15</v>
      </c>
      <c r="J1" t="s">
        <v>15</v>
      </c>
      <c r="K1" t="s">
        <v>15</v>
      </c>
      <c r="L1" t="s">
        <v>16</v>
      </c>
      <c r="M1" t="s">
        <v>17</v>
      </c>
    </row>
    <row r="2" spans="1:13" x14ac:dyDescent="0.3">
      <c r="A2">
        <v>101.61</v>
      </c>
      <c r="B2">
        <v>101.61</v>
      </c>
      <c r="C2">
        <v>101.61</v>
      </c>
      <c r="D2">
        <v>101.61</v>
      </c>
      <c r="E2">
        <v>101.61</v>
      </c>
      <c r="F2">
        <v>101.61</v>
      </c>
      <c r="G2">
        <v>101.61</v>
      </c>
      <c r="H2">
        <v>101.61</v>
      </c>
      <c r="I2">
        <v>101.61</v>
      </c>
      <c r="J2">
        <v>101.61</v>
      </c>
      <c r="K2">
        <v>101.61</v>
      </c>
    </row>
    <row r="3" spans="1:13" x14ac:dyDescent="0.3">
      <c r="A3">
        <v>9.64</v>
      </c>
      <c r="B3">
        <v>9.64</v>
      </c>
      <c r="C3">
        <v>9.64</v>
      </c>
      <c r="D3">
        <v>9.64</v>
      </c>
      <c r="E3">
        <v>9.64</v>
      </c>
      <c r="F3">
        <v>9.64</v>
      </c>
      <c r="G3">
        <v>9.64</v>
      </c>
      <c r="H3">
        <v>9.64</v>
      </c>
      <c r="I3">
        <v>9.64</v>
      </c>
      <c r="J3">
        <v>9.64</v>
      </c>
      <c r="K3">
        <v>9.64</v>
      </c>
    </row>
    <row r="4" spans="1:13" x14ac:dyDescent="0.3">
      <c r="A4">
        <v>300</v>
      </c>
      <c r="B4">
        <v>300</v>
      </c>
      <c r="C4">
        <v>300</v>
      </c>
      <c r="D4">
        <v>300</v>
      </c>
      <c r="E4">
        <v>300</v>
      </c>
      <c r="F4">
        <v>300</v>
      </c>
      <c r="G4">
        <v>300</v>
      </c>
      <c r="H4">
        <v>300</v>
      </c>
      <c r="I4">
        <v>300</v>
      </c>
      <c r="J4">
        <v>300</v>
      </c>
      <c r="K4">
        <v>300</v>
      </c>
    </row>
    <row r="5" spans="1:13" x14ac:dyDescent="0.3">
      <c r="A5">
        <v>101.6</v>
      </c>
      <c r="B5">
        <v>101.6</v>
      </c>
      <c r="C5">
        <v>101.6</v>
      </c>
      <c r="D5">
        <v>101.6</v>
      </c>
      <c r="E5">
        <v>101.6</v>
      </c>
      <c r="F5">
        <v>101.6</v>
      </c>
      <c r="G5">
        <v>101.6</v>
      </c>
      <c r="H5">
        <v>101.6</v>
      </c>
      <c r="I5">
        <v>101.6</v>
      </c>
      <c r="J5">
        <v>101.6</v>
      </c>
      <c r="K5">
        <v>101.6</v>
      </c>
    </row>
    <row r="6" spans="1:13" x14ac:dyDescent="0.3">
      <c r="A6">
        <v>102.29</v>
      </c>
      <c r="B6">
        <v>102.29</v>
      </c>
      <c r="C6">
        <v>102.29</v>
      </c>
      <c r="D6">
        <v>102.29</v>
      </c>
      <c r="E6">
        <v>102.29</v>
      </c>
      <c r="F6">
        <v>102.29</v>
      </c>
      <c r="G6">
        <v>102.29</v>
      </c>
      <c r="H6">
        <v>102.29</v>
      </c>
      <c r="I6">
        <v>102.29</v>
      </c>
      <c r="J6">
        <v>102.29</v>
      </c>
      <c r="K6">
        <v>102.29</v>
      </c>
    </row>
    <row r="7" spans="1:13" x14ac:dyDescent="0.3">
      <c r="A7">
        <v>100</v>
      </c>
      <c r="B7">
        <v>100</v>
      </c>
      <c r="C7">
        <v>100</v>
      </c>
      <c r="D7">
        <v>100</v>
      </c>
      <c r="E7">
        <v>100</v>
      </c>
      <c r="F7">
        <v>100</v>
      </c>
      <c r="G7">
        <v>100</v>
      </c>
      <c r="H7">
        <v>100</v>
      </c>
      <c r="I7">
        <v>100</v>
      </c>
      <c r="J7">
        <v>100</v>
      </c>
      <c r="K7">
        <v>100</v>
      </c>
    </row>
    <row r="8" spans="1:13" x14ac:dyDescent="0.3">
      <c r="A8" t="s">
        <v>18</v>
      </c>
      <c r="B8" t="s">
        <v>18</v>
      </c>
      <c r="C8" t="s">
        <v>18</v>
      </c>
      <c r="D8" t="s">
        <v>18</v>
      </c>
      <c r="E8" t="s">
        <v>18</v>
      </c>
      <c r="F8" t="s">
        <v>18</v>
      </c>
      <c r="G8" t="s">
        <v>18</v>
      </c>
      <c r="H8" t="s">
        <v>18</v>
      </c>
      <c r="I8" t="s">
        <v>18</v>
      </c>
      <c r="J8" t="s">
        <v>18</v>
      </c>
      <c r="K8" t="s">
        <v>18</v>
      </c>
    </row>
    <row r="9" spans="1:13" x14ac:dyDescent="0.3">
      <c r="A9">
        <v>16869170</v>
      </c>
      <c r="B9">
        <v>16869170</v>
      </c>
      <c r="C9">
        <v>16869170</v>
      </c>
      <c r="D9">
        <v>16869170</v>
      </c>
      <c r="E9">
        <v>16869170</v>
      </c>
      <c r="F9">
        <v>16869170</v>
      </c>
      <c r="G9">
        <v>16869170</v>
      </c>
      <c r="H9">
        <v>16869170</v>
      </c>
      <c r="I9">
        <v>16869170</v>
      </c>
      <c r="J9">
        <v>16869170</v>
      </c>
      <c r="K9">
        <v>16869170</v>
      </c>
    </row>
    <row r="10" spans="1:13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3" x14ac:dyDescent="0.3">
      <c r="A11" t="s">
        <v>19</v>
      </c>
      <c r="B11" t="s">
        <v>19</v>
      </c>
      <c r="C11" t="s">
        <v>19</v>
      </c>
      <c r="D11" t="s">
        <v>19</v>
      </c>
      <c r="E11" t="s">
        <v>19</v>
      </c>
      <c r="F11" t="s">
        <v>19</v>
      </c>
      <c r="G11" t="s">
        <v>19</v>
      </c>
      <c r="H11" t="s">
        <v>19</v>
      </c>
      <c r="I11" t="s">
        <v>19</v>
      </c>
      <c r="J11" t="s">
        <v>19</v>
      </c>
      <c r="K11" t="s">
        <v>19</v>
      </c>
    </row>
    <row r="12" spans="1:13" x14ac:dyDescent="0.3">
      <c r="A12" t="s">
        <v>20</v>
      </c>
      <c r="B12" t="s">
        <v>20</v>
      </c>
      <c r="C12" t="s">
        <v>20</v>
      </c>
      <c r="D12" t="s">
        <v>20</v>
      </c>
      <c r="E12" t="s">
        <v>20</v>
      </c>
      <c r="F12" t="s">
        <v>20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</row>
    <row r="13" spans="1:13" x14ac:dyDescent="0.3">
      <c r="A13" t="s">
        <v>15</v>
      </c>
      <c r="B13" t="s">
        <v>15</v>
      </c>
      <c r="C13" t="s">
        <v>15</v>
      </c>
      <c r="D13" t="s">
        <v>15</v>
      </c>
      <c r="E13" t="s">
        <v>15</v>
      </c>
      <c r="F13" t="s">
        <v>15</v>
      </c>
      <c r="G13" t="s">
        <v>15</v>
      </c>
      <c r="H13" t="s">
        <v>15</v>
      </c>
      <c r="I13" t="s">
        <v>15</v>
      </c>
      <c r="J13" t="s">
        <v>15</v>
      </c>
      <c r="K13" t="s">
        <v>15</v>
      </c>
      <c r="L13" t="s">
        <v>16</v>
      </c>
      <c r="M13" t="s">
        <v>17</v>
      </c>
    </row>
    <row r="14" spans="1:13" x14ac:dyDescent="0.3">
      <c r="A14">
        <v>492.12</v>
      </c>
      <c r="B14">
        <v>492.12</v>
      </c>
      <c r="C14">
        <v>492.12</v>
      </c>
      <c r="D14">
        <v>492.12</v>
      </c>
      <c r="E14">
        <v>492.12</v>
      </c>
      <c r="F14">
        <v>492.12</v>
      </c>
      <c r="G14">
        <v>492.12</v>
      </c>
      <c r="H14">
        <v>492.12</v>
      </c>
      <c r="I14">
        <v>492.12</v>
      </c>
      <c r="J14">
        <v>492.12</v>
      </c>
      <c r="K14">
        <v>492.12</v>
      </c>
    </row>
    <row r="15" spans="1:13" x14ac:dyDescent="0.3">
      <c r="A15">
        <v>0.56000000000000005</v>
      </c>
      <c r="B15">
        <v>0.56000000000000005</v>
      </c>
      <c r="C15">
        <v>0.56000000000000005</v>
      </c>
      <c r="D15">
        <v>0.56000000000000005</v>
      </c>
      <c r="E15">
        <v>0.56000000000000005</v>
      </c>
      <c r="F15">
        <v>0.56000000000000005</v>
      </c>
      <c r="G15">
        <v>0.56000000000000005</v>
      </c>
      <c r="H15">
        <v>0.56000000000000005</v>
      </c>
      <c r="I15">
        <v>0.56000000000000005</v>
      </c>
      <c r="J15">
        <v>0.56000000000000005</v>
      </c>
      <c r="K15">
        <v>0.56000000000000005</v>
      </c>
    </row>
    <row r="16" spans="1:13" x14ac:dyDescent="0.3">
      <c r="A16">
        <v>200</v>
      </c>
      <c r="B16">
        <v>200</v>
      </c>
      <c r="C16">
        <v>200</v>
      </c>
      <c r="D16">
        <v>200</v>
      </c>
      <c r="E16">
        <v>200</v>
      </c>
      <c r="F16">
        <v>200</v>
      </c>
      <c r="G16">
        <v>200</v>
      </c>
      <c r="H16">
        <v>200</v>
      </c>
      <c r="I16">
        <v>200</v>
      </c>
      <c r="J16">
        <v>200</v>
      </c>
      <c r="K16">
        <v>200</v>
      </c>
    </row>
    <row r="17" spans="1:13" x14ac:dyDescent="0.3">
      <c r="A17">
        <v>491</v>
      </c>
      <c r="B17">
        <v>491</v>
      </c>
      <c r="C17">
        <v>491</v>
      </c>
      <c r="D17">
        <v>491</v>
      </c>
      <c r="E17">
        <v>491</v>
      </c>
      <c r="F17">
        <v>491</v>
      </c>
      <c r="G17">
        <v>491</v>
      </c>
      <c r="H17">
        <v>491</v>
      </c>
      <c r="I17">
        <v>491</v>
      </c>
      <c r="J17">
        <v>491</v>
      </c>
      <c r="K17">
        <v>491</v>
      </c>
    </row>
    <row r="18" spans="1:13" x14ac:dyDescent="0.3">
      <c r="A18">
        <v>492.42</v>
      </c>
      <c r="B18">
        <v>492.42</v>
      </c>
      <c r="C18">
        <v>492.42</v>
      </c>
      <c r="D18">
        <v>492.42</v>
      </c>
      <c r="E18">
        <v>492.42</v>
      </c>
      <c r="F18">
        <v>492.42</v>
      </c>
      <c r="G18">
        <v>492.42</v>
      </c>
      <c r="H18">
        <v>492.42</v>
      </c>
      <c r="I18">
        <v>492.42</v>
      </c>
      <c r="J18">
        <v>492.42</v>
      </c>
      <c r="K18">
        <v>492.42</v>
      </c>
    </row>
    <row r="19" spans="1:13" x14ac:dyDescent="0.3">
      <c r="A19">
        <v>100</v>
      </c>
      <c r="B19">
        <v>100</v>
      </c>
      <c r="C19">
        <v>100</v>
      </c>
      <c r="D19">
        <v>100</v>
      </c>
      <c r="E19">
        <v>100</v>
      </c>
      <c r="F19">
        <v>100</v>
      </c>
      <c r="G19">
        <v>100</v>
      </c>
      <c r="H19">
        <v>100</v>
      </c>
      <c r="I19">
        <v>100</v>
      </c>
      <c r="J19">
        <v>100</v>
      </c>
      <c r="K19">
        <v>100</v>
      </c>
    </row>
    <row r="20" spans="1:13" x14ac:dyDescent="0.3">
      <c r="A20" t="s">
        <v>21</v>
      </c>
      <c r="B20" t="s">
        <v>21</v>
      </c>
      <c r="C20" t="s">
        <v>21</v>
      </c>
      <c r="D20" t="s">
        <v>21</v>
      </c>
      <c r="E20" t="s">
        <v>21</v>
      </c>
      <c r="F20" t="s">
        <v>21</v>
      </c>
      <c r="G20" t="s">
        <v>21</v>
      </c>
      <c r="H20" t="s">
        <v>21</v>
      </c>
      <c r="I20" t="s">
        <v>21</v>
      </c>
      <c r="J20" t="s">
        <v>21</v>
      </c>
      <c r="K20" t="s">
        <v>21</v>
      </c>
    </row>
    <row r="21" spans="1:13" x14ac:dyDescent="0.3">
      <c r="A21">
        <v>1652869</v>
      </c>
      <c r="B21">
        <v>1652869</v>
      </c>
      <c r="C21">
        <v>1652869</v>
      </c>
      <c r="D21">
        <v>1652869</v>
      </c>
      <c r="E21">
        <v>1652869</v>
      </c>
      <c r="F21">
        <v>1652869</v>
      </c>
      <c r="G21">
        <v>1652869</v>
      </c>
      <c r="H21">
        <v>1652869</v>
      </c>
      <c r="I21">
        <v>1652869</v>
      </c>
      <c r="J21">
        <v>1652869</v>
      </c>
      <c r="K21">
        <v>1652869</v>
      </c>
    </row>
    <row r="22" spans="1:13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3" x14ac:dyDescent="0.3">
      <c r="A23" t="s">
        <v>19</v>
      </c>
      <c r="B23" t="s">
        <v>19</v>
      </c>
      <c r="C23" t="s">
        <v>19</v>
      </c>
      <c r="D23" t="s">
        <v>19</v>
      </c>
      <c r="E23" t="s">
        <v>19</v>
      </c>
      <c r="F23" t="s">
        <v>19</v>
      </c>
      <c r="G23" t="s">
        <v>19</v>
      </c>
      <c r="H23" t="s">
        <v>19</v>
      </c>
      <c r="I23" t="s">
        <v>19</v>
      </c>
      <c r="J23" t="s">
        <v>19</v>
      </c>
      <c r="K23" t="s">
        <v>19</v>
      </c>
    </row>
    <row r="24" spans="1:13" x14ac:dyDescent="0.3">
      <c r="A24" t="s">
        <v>20</v>
      </c>
      <c r="B24" t="s">
        <v>20</v>
      </c>
      <c r="C24" t="s">
        <v>20</v>
      </c>
      <c r="D24" t="s">
        <v>20</v>
      </c>
      <c r="E24" t="s">
        <v>20</v>
      </c>
      <c r="F24" t="s">
        <v>20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</row>
    <row r="25" spans="1:13" x14ac:dyDescent="0.3">
      <c r="A25" t="s">
        <v>15</v>
      </c>
      <c r="B25" t="s">
        <v>15</v>
      </c>
      <c r="C25" t="s">
        <v>15</v>
      </c>
      <c r="D25" t="s">
        <v>15</v>
      </c>
      <c r="E25" t="s">
        <v>15</v>
      </c>
      <c r="F25" t="s">
        <v>15</v>
      </c>
      <c r="G25" t="s">
        <v>15</v>
      </c>
      <c r="H25" t="s">
        <v>15</v>
      </c>
      <c r="I25" t="s">
        <v>15</v>
      </c>
      <c r="J25" t="s">
        <v>15</v>
      </c>
      <c r="K25" t="s">
        <v>15</v>
      </c>
      <c r="L25" t="s">
        <v>16</v>
      </c>
      <c r="M25" t="s">
        <v>17</v>
      </c>
    </row>
    <row r="26" spans="1:13" x14ac:dyDescent="0.3">
      <c r="A26">
        <v>87.9</v>
      </c>
      <c r="B26">
        <v>87.9</v>
      </c>
      <c r="C26">
        <v>87.9</v>
      </c>
      <c r="D26">
        <v>87.9</v>
      </c>
      <c r="E26">
        <v>87.9</v>
      </c>
      <c r="F26">
        <v>87.9</v>
      </c>
      <c r="G26">
        <v>87.9</v>
      </c>
      <c r="H26">
        <v>87.9</v>
      </c>
      <c r="I26">
        <v>87.9</v>
      </c>
      <c r="J26">
        <v>87.9</v>
      </c>
      <c r="K26">
        <v>87.9</v>
      </c>
    </row>
    <row r="27" spans="1:13" x14ac:dyDescent="0.3">
      <c r="A27">
        <v>7.0000000000000007E-2</v>
      </c>
      <c r="B27">
        <v>7.0000000000000007E-2</v>
      </c>
      <c r="C27">
        <v>7.0000000000000007E-2</v>
      </c>
      <c r="D27">
        <v>7.0000000000000007E-2</v>
      </c>
      <c r="E27">
        <v>7.0000000000000007E-2</v>
      </c>
      <c r="F27">
        <v>7.0000000000000007E-2</v>
      </c>
      <c r="G27">
        <v>7.0000000000000007E-2</v>
      </c>
      <c r="H27">
        <v>7.0000000000000007E-2</v>
      </c>
      <c r="I27">
        <v>7.0000000000000007E-2</v>
      </c>
      <c r="J27">
        <v>7.0000000000000007E-2</v>
      </c>
      <c r="K27">
        <v>7.0000000000000007E-2</v>
      </c>
    </row>
    <row r="28" spans="1:13" x14ac:dyDescent="0.3">
      <c r="A28">
        <v>400</v>
      </c>
      <c r="B28">
        <v>400</v>
      </c>
      <c r="C28">
        <v>400</v>
      </c>
      <c r="D28">
        <v>400</v>
      </c>
      <c r="E28">
        <v>400</v>
      </c>
      <c r="F28">
        <v>400</v>
      </c>
      <c r="G28">
        <v>400</v>
      </c>
      <c r="H28">
        <v>400</v>
      </c>
      <c r="I28">
        <v>400</v>
      </c>
      <c r="J28">
        <v>400</v>
      </c>
      <c r="K28">
        <v>400</v>
      </c>
    </row>
    <row r="29" spans="1:13" x14ac:dyDescent="0.3">
      <c r="A29">
        <v>87.87</v>
      </c>
      <c r="B29">
        <v>87.87</v>
      </c>
      <c r="C29">
        <v>87.87</v>
      </c>
      <c r="D29">
        <v>87.87</v>
      </c>
      <c r="E29">
        <v>87.87</v>
      </c>
      <c r="F29">
        <v>87.87</v>
      </c>
      <c r="G29">
        <v>87.87</v>
      </c>
      <c r="H29">
        <v>87.87</v>
      </c>
      <c r="I29">
        <v>87.87</v>
      </c>
      <c r="J29">
        <v>87.87</v>
      </c>
      <c r="K29">
        <v>87.87</v>
      </c>
    </row>
    <row r="30" spans="1:13" x14ac:dyDescent="0.3">
      <c r="A30">
        <v>87.9</v>
      </c>
      <c r="B30">
        <v>87.9</v>
      </c>
      <c r="C30">
        <v>87.9</v>
      </c>
      <c r="D30">
        <v>87.9</v>
      </c>
      <c r="E30">
        <v>87.9</v>
      </c>
      <c r="F30">
        <v>87.9</v>
      </c>
      <c r="G30">
        <v>87.9</v>
      </c>
      <c r="H30">
        <v>87.9</v>
      </c>
      <c r="I30">
        <v>87.9</v>
      </c>
      <c r="J30">
        <v>87.9</v>
      </c>
      <c r="K30">
        <v>87.9</v>
      </c>
    </row>
    <row r="31" spans="1:13" x14ac:dyDescent="0.3">
      <c r="A31">
        <v>100</v>
      </c>
      <c r="B31">
        <v>100</v>
      </c>
      <c r="C31">
        <v>100</v>
      </c>
      <c r="D31">
        <v>100</v>
      </c>
      <c r="E31">
        <v>100</v>
      </c>
      <c r="F31">
        <v>100</v>
      </c>
      <c r="G31">
        <v>100</v>
      </c>
      <c r="H31">
        <v>100</v>
      </c>
      <c r="I31">
        <v>100</v>
      </c>
      <c r="J31">
        <v>100</v>
      </c>
      <c r="K31">
        <v>100</v>
      </c>
    </row>
    <row r="32" spans="1:13" x14ac:dyDescent="0.3">
      <c r="A32" t="s">
        <v>22</v>
      </c>
      <c r="B32" t="s">
        <v>22</v>
      </c>
      <c r="C32" t="s">
        <v>22</v>
      </c>
      <c r="D32" t="s">
        <v>22</v>
      </c>
      <c r="E32" t="s">
        <v>22</v>
      </c>
      <c r="F32" t="s">
        <v>22</v>
      </c>
      <c r="G32" t="s">
        <v>22</v>
      </c>
      <c r="H32" t="s">
        <v>22</v>
      </c>
      <c r="I32" t="s">
        <v>22</v>
      </c>
      <c r="J32" t="s">
        <v>22</v>
      </c>
      <c r="K32" t="s">
        <v>22</v>
      </c>
    </row>
    <row r="33" spans="1:13" x14ac:dyDescent="0.3">
      <c r="A33">
        <v>29715017</v>
      </c>
      <c r="B33">
        <v>29715017</v>
      </c>
      <c r="C33">
        <v>29715017</v>
      </c>
      <c r="D33">
        <v>29715017</v>
      </c>
      <c r="E33">
        <v>29715017</v>
      </c>
      <c r="F33">
        <v>29715017</v>
      </c>
      <c r="G33">
        <v>29715017</v>
      </c>
      <c r="H33">
        <v>29715017</v>
      </c>
      <c r="I33">
        <v>29715017</v>
      </c>
      <c r="J33">
        <v>29715017</v>
      </c>
      <c r="K33">
        <v>29715017</v>
      </c>
    </row>
    <row r="34" spans="1:13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3" x14ac:dyDescent="0.3">
      <c r="A35" t="s">
        <v>19</v>
      </c>
      <c r="B35" t="s">
        <v>19</v>
      </c>
      <c r="C35" t="s">
        <v>19</v>
      </c>
      <c r="D35" t="s">
        <v>19</v>
      </c>
      <c r="E35" t="s">
        <v>19</v>
      </c>
      <c r="F35" t="s">
        <v>19</v>
      </c>
      <c r="G35" t="s">
        <v>19</v>
      </c>
      <c r="H35" t="s">
        <v>19</v>
      </c>
      <c r="I35" t="s">
        <v>19</v>
      </c>
      <c r="J35" t="s">
        <v>19</v>
      </c>
      <c r="K35" t="s">
        <v>19</v>
      </c>
    </row>
    <row r="36" spans="1:13" x14ac:dyDescent="0.3">
      <c r="A36" t="s">
        <v>20</v>
      </c>
      <c r="B36" t="s">
        <v>20</v>
      </c>
      <c r="C36" t="s">
        <v>20</v>
      </c>
      <c r="D36" t="s">
        <v>20</v>
      </c>
      <c r="E36" t="s">
        <v>20</v>
      </c>
      <c r="F36" t="s">
        <v>20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</row>
    <row r="37" spans="1:13" x14ac:dyDescent="0.3">
      <c r="A37" t="s">
        <v>15</v>
      </c>
      <c r="B37" t="s">
        <v>15</v>
      </c>
      <c r="C37" t="s">
        <v>15</v>
      </c>
      <c r="D37" t="s">
        <v>15</v>
      </c>
      <c r="E37" t="s">
        <v>15</v>
      </c>
      <c r="F37" t="s">
        <v>15</v>
      </c>
      <c r="G37" t="s">
        <v>15</v>
      </c>
      <c r="H37" t="s">
        <v>15</v>
      </c>
      <c r="I37" t="s">
        <v>15</v>
      </c>
      <c r="J37" t="s">
        <v>15</v>
      </c>
      <c r="K37" t="s">
        <v>15</v>
      </c>
      <c r="L37" t="s">
        <v>16</v>
      </c>
      <c r="M37" t="s">
        <v>17</v>
      </c>
    </row>
    <row r="38" spans="1:13" x14ac:dyDescent="0.3">
      <c r="A38">
        <v>153.91999999999999</v>
      </c>
      <c r="B38">
        <v>153.91999999999999</v>
      </c>
      <c r="C38">
        <v>153.91999999999999</v>
      </c>
      <c r="D38">
        <v>153.91999999999999</v>
      </c>
      <c r="E38">
        <v>153.91999999999999</v>
      </c>
      <c r="F38">
        <v>153.91999999999999</v>
      </c>
      <c r="G38">
        <v>153.91999999999999</v>
      </c>
      <c r="H38">
        <v>153.91999999999999</v>
      </c>
      <c r="I38">
        <v>153.91999999999999</v>
      </c>
      <c r="J38">
        <v>153.91999999999999</v>
      </c>
      <c r="K38">
        <v>153.91999999999999</v>
      </c>
    </row>
    <row r="39" spans="1:13" x14ac:dyDescent="0.3">
      <c r="A39">
        <v>-1.07</v>
      </c>
      <c r="B39">
        <v>-1.07</v>
      </c>
      <c r="C39">
        <v>-1.07</v>
      </c>
      <c r="D39">
        <v>-1.07</v>
      </c>
      <c r="E39">
        <v>-1.07</v>
      </c>
      <c r="F39">
        <v>-1.07</v>
      </c>
      <c r="G39">
        <v>-1.07</v>
      </c>
      <c r="H39">
        <v>-1.07</v>
      </c>
      <c r="I39">
        <v>-1.07</v>
      </c>
      <c r="J39">
        <v>-1.07</v>
      </c>
      <c r="K39">
        <v>-1.07</v>
      </c>
    </row>
    <row r="40" spans="1:13" x14ac:dyDescent="0.3">
      <c r="A40">
        <v>100</v>
      </c>
      <c r="B40">
        <v>100</v>
      </c>
      <c r="C40">
        <v>100</v>
      </c>
      <c r="D40">
        <v>100</v>
      </c>
      <c r="E40">
        <v>100</v>
      </c>
      <c r="F40">
        <v>100</v>
      </c>
      <c r="G40">
        <v>100</v>
      </c>
      <c r="H40">
        <v>100</v>
      </c>
      <c r="I40">
        <v>100</v>
      </c>
      <c r="J40">
        <v>100</v>
      </c>
      <c r="K40">
        <v>100</v>
      </c>
    </row>
    <row r="41" spans="1:13" x14ac:dyDescent="0.3">
      <c r="A41">
        <v>150</v>
      </c>
      <c r="B41">
        <v>150</v>
      </c>
      <c r="C41">
        <v>150</v>
      </c>
      <c r="D41">
        <v>150</v>
      </c>
      <c r="E41">
        <v>150</v>
      </c>
      <c r="F41">
        <v>150</v>
      </c>
      <c r="G41">
        <v>150</v>
      </c>
      <c r="H41">
        <v>150</v>
      </c>
      <c r="I41">
        <v>150</v>
      </c>
      <c r="J41">
        <v>150</v>
      </c>
      <c r="K41">
        <v>150</v>
      </c>
    </row>
    <row r="42" spans="1:13" x14ac:dyDescent="0.3">
      <c r="A42">
        <v>155.13</v>
      </c>
      <c r="B42">
        <v>155.13</v>
      </c>
      <c r="C42">
        <v>155.13</v>
      </c>
      <c r="D42">
        <v>155.13</v>
      </c>
      <c r="E42">
        <v>155.13</v>
      </c>
      <c r="F42">
        <v>155.13</v>
      </c>
      <c r="G42">
        <v>155.13</v>
      </c>
      <c r="H42">
        <v>155.13</v>
      </c>
      <c r="I42">
        <v>155.13</v>
      </c>
      <c r="J42">
        <v>155.13</v>
      </c>
      <c r="K42">
        <v>155.13</v>
      </c>
    </row>
    <row r="43" spans="1:13" x14ac:dyDescent="0.3">
      <c r="A43">
        <v>100</v>
      </c>
      <c r="B43">
        <v>100</v>
      </c>
      <c r="C43">
        <v>100</v>
      </c>
      <c r="D43">
        <v>100</v>
      </c>
      <c r="E43">
        <v>100</v>
      </c>
      <c r="F43">
        <v>100</v>
      </c>
      <c r="G43">
        <v>100</v>
      </c>
      <c r="H43">
        <v>100</v>
      </c>
      <c r="I43">
        <v>100</v>
      </c>
      <c r="J43">
        <v>100</v>
      </c>
      <c r="K43">
        <v>100</v>
      </c>
    </row>
    <row r="44" spans="1:13" x14ac:dyDescent="0.3">
      <c r="A44" t="s">
        <v>23</v>
      </c>
      <c r="B44" t="s">
        <v>23</v>
      </c>
      <c r="C44" t="s">
        <v>23</v>
      </c>
      <c r="D44" t="s">
        <v>23</v>
      </c>
      <c r="E44" t="s">
        <v>23</v>
      </c>
      <c r="F44" t="s">
        <v>23</v>
      </c>
      <c r="G44" t="s">
        <v>23</v>
      </c>
      <c r="H44" t="s">
        <v>23</v>
      </c>
      <c r="I44" t="s">
        <v>23</v>
      </c>
      <c r="J44" t="s">
        <v>23</v>
      </c>
      <c r="K44" t="s">
        <v>23</v>
      </c>
    </row>
    <row r="45" spans="1:13" x14ac:dyDescent="0.3">
      <c r="A45">
        <v>2210235</v>
      </c>
      <c r="B45">
        <v>2210235</v>
      </c>
      <c r="C45">
        <v>2210235</v>
      </c>
      <c r="D45">
        <v>2210235</v>
      </c>
      <c r="E45">
        <v>2210235</v>
      </c>
      <c r="F45">
        <v>2210235</v>
      </c>
      <c r="G45">
        <v>2210235</v>
      </c>
      <c r="H45">
        <v>2210235</v>
      </c>
      <c r="I45">
        <v>2210235</v>
      </c>
      <c r="J45">
        <v>2210235</v>
      </c>
      <c r="K45">
        <v>2210235</v>
      </c>
    </row>
    <row r="46" spans="1:13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13" x14ac:dyDescent="0.3">
      <c r="A47" t="s">
        <v>19</v>
      </c>
      <c r="B47" t="s">
        <v>19</v>
      </c>
      <c r="C47" t="s">
        <v>19</v>
      </c>
      <c r="D47" t="s">
        <v>19</v>
      </c>
      <c r="E47" t="s">
        <v>19</v>
      </c>
      <c r="F47" t="s">
        <v>19</v>
      </c>
      <c r="G47" t="s">
        <v>19</v>
      </c>
      <c r="H47" t="s">
        <v>19</v>
      </c>
      <c r="I47" t="s">
        <v>19</v>
      </c>
      <c r="J47" t="s">
        <v>19</v>
      </c>
      <c r="K47" t="s">
        <v>19</v>
      </c>
    </row>
    <row r="48" spans="1:13" x14ac:dyDescent="0.3">
      <c r="A48" t="s">
        <v>20</v>
      </c>
      <c r="B48" t="s">
        <v>20</v>
      </c>
      <c r="C48" t="s">
        <v>20</v>
      </c>
      <c r="D48" t="s">
        <v>20</v>
      </c>
      <c r="E48" t="s">
        <v>20</v>
      </c>
      <c r="F48" t="s">
        <v>20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</row>
    <row r="49" spans="1:13" x14ac:dyDescent="0.3">
      <c r="A49" t="s">
        <v>15</v>
      </c>
      <c r="B49" t="s">
        <v>15</v>
      </c>
      <c r="C49" t="s">
        <v>15</v>
      </c>
      <c r="D49" t="s">
        <v>15</v>
      </c>
      <c r="E49" t="s">
        <v>15</v>
      </c>
      <c r="F49" t="s">
        <v>15</v>
      </c>
      <c r="G49" t="s">
        <v>15</v>
      </c>
      <c r="H49" t="s">
        <v>15</v>
      </c>
      <c r="I49" t="s">
        <v>15</v>
      </c>
      <c r="J49" t="s">
        <v>15</v>
      </c>
      <c r="K49" t="s">
        <v>15</v>
      </c>
      <c r="L49" t="s">
        <v>16</v>
      </c>
      <c r="M49" t="s">
        <v>17</v>
      </c>
    </row>
    <row r="50" spans="1:13" x14ac:dyDescent="0.3">
      <c r="A50">
        <v>620.45000000000005</v>
      </c>
      <c r="B50">
        <v>620.45000000000005</v>
      </c>
      <c r="C50">
        <v>620.45000000000005</v>
      </c>
      <c r="D50">
        <v>620.45000000000005</v>
      </c>
      <c r="E50">
        <v>620.45000000000005</v>
      </c>
      <c r="F50">
        <v>620.45000000000005</v>
      </c>
      <c r="G50">
        <v>620.45000000000005</v>
      </c>
      <c r="H50">
        <v>620.45000000000005</v>
      </c>
      <c r="I50">
        <v>620.45000000000005</v>
      </c>
      <c r="J50">
        <v>620.45000000000005</v>
      </c>
      <c r="K50">
        <v>620.45000000000005</v>
      </c>
    </row>
    <row r="51" spans="1:13" x14ac:dyDescent="0.3">
      <c r="A51">
        <v>0.86</v>
      </c>
      <c r="B51">
        <v>0.86</v>
      </c>
      <c r="C51">
        <v>0.86</v>
      </c>
      <c r="D51">
        <v>0.86</v>
      </c>
      <c r="E51">
        <v>0.86</v>
      </c>
      <c r="F51">
        <v>0.86</v>
      </c>
      <c r="G51">
        <v>0.86</v>
      </c>
      <c r="H51">
        <v>0.86</v>
      </c>
      <c r="I51">
        <v>0.86</v>
      </c>
      <c r="J51">
        <v>0.86</v>
      </c>
      <c r="K51">
        <v>0.86</v>
      </c>
    </row>
    <row r="52" spans="1:13" x14ac:dyDescent="0.3">
      <c r="A52">
        <v>100</v>
      </c>
      <c r="B52">
        <v>100</v>
      </c>
      <c r="C52">
        <v>100</v>
      </c>
      <c r="D52">
        <v>100</v>
      </c>
      <c r="E52">
        <v>100</v>
      </c>
      <c r="F52">
        <v>100</v>
      </c>
      <c r="G52">
        <v>100</v>
      </c>
      <c r="H52">
        <v>100</v>
      </c>
      <c r="I52">
        <v>100</v>
      </c>
      <c r="J52">
        <v>100</v>
      </c>
      <c r="K52">
        <v>100</v>
      </c>
    </row>
    <row r="53" spans="1:13" x14ac:dyDescent="0.3">
      <c r="A53">
        <v>618.42999999999995</v>
      </c>
      <c r="B53">
        <v>618.42999999999995</v>
      </c>
      <c r="C53">
        <v>618.42999999999995</v>
      </c>
      <c r="D53">
        <v>618.42999999999995</v>
      </c>
      <c r="E53">
        <v>618.42999999999995</v>
      </c>
      <c r="F53">
        <v>618.42999999999995</v>
      </c>
      <c r="G53">
        <v>618.42999999999995</v>
      </c>
      <c r="H53">
        <v>618.42999999999995</v>
      </c>
      <c r="I53">
        <v>618.42999999999995</v>
      </c>
      <c r="J53">
        <v>618.42999999999995</v>
      </c>
      <c r="K53">
        <v>618.42999999999995</v>
      </c>
    </row>
    <row r="54" spans="1:13" x14ac:dyDescent="0.3">
      <c r="A54">
        <v>626</v>
      </c>
      <c r="B54">
        <v>626</v>
      </c>
      <c r="C54">
        <v>626</v>
      </c>
      <c r="D54">
        <v>626</v>
      </c>
      <c r="E54">
        <v>626</v>
      </c>
      <c r="F54">
        <v>626</v>
      </c>
      <c r="G54">
        <v>626</v>
      </c>
      <c r="H54">
        <v>626</v>
      </c>
      <c r="I54">
        <v>626</v>
      </c>
      <c r="J54">
        <v>626</v>
      </c>
      <c r="K54">
        <v>626</v>
      </c>
    </row>
    <row r="55" spans="1:13" x14ac:dyDescent="0.3">
      <c r="A55">
        <v>100</v>
      </c>
      <c r="B55">
        <v>100</v>
      </c>
      <c r="C55">
        <v>100</v>
      </c>
      <c r="D55">
        <v>100</v>
      </c>
      <c r="E55">
        <v>100</v>
      </c>
      <c r="F55">
        <v>100</v>
      </c>
      <c r="G55">
        <v>100</v>
      </c>
      <c r="H55">
        <v>100</v>
      </c>
      <c r="I55">
        <v>100</v>
      </c>
      <c r="J55">
        <v>100</v>
      </c>
      <c r="K55">
        <v>100</v>
      </c>
    </row>
    <row r="56" spans="1:13" x14ac:dyDescent="0.3">
      <c r="A56" t="s">
        <v>24</v>
      </c>
      <c r="B56" t="s">
        <v>24</v>
      </c>
      <c r="C56" t="s">
        <v>24</v>
      </c>
      <c r="D56" t="s">
        <v>24</v>
      </c>
      <c r="E56" t="s">
        <v>24</v>
      </c>
      <c r="F56" t="s">
        <v>24</v>
      </c>
      <c r="G56" t="s">
        <v>24</v>
      </c>
      <c r="H56" t="s">
        <v>24</v>
      </c>
      <c r="I56" t="s">
        <v>24</v>
      </c>
      <c r="J56" t="s">
        <v>24</v>
      </c>
      <c r="K56" t="s">
        <v>24</v>
      </c>
    </row>
    <row r="57" spans="1:13" x14ac:dyDescent="0.3">
      <c r="A57">
        <v>654240</v>
      </c>
      <c r="B57">
        <v>654240</v>
      </c>
      <c r="C57">
        <v>654240</v>
      </c>
      <c r="D57">
        <v>654240</v>
      </c>
      <c r="E57">
        <v>654240</v>
      </c>
      <c r="F57">
        <v>654240</v>
      </c>
      <c r="G57">
        <v>654240</v>
      </c>
      <c r="H57">
        <v>654240</v>
      </c>
      <c r="I57">
        <v>654240</v>
      </c>
      <c r="J57">
        <v>654240</v>
      </c>
      <c r="K57">
        <v>654240</v>
      </c>
    </row>
    <row r="58" spans="1:13" x14ac:dyDescent="0.3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1:13" x14ac:dyDescent="0.3">
      <c r="A59" t="s">
        <v>19</v>
      </c>
      <c r="B59" t="s">
        <v>19</v>
      </c>
      <c r="C59" t="s">
        <v>19</v>
      </c>
      <c r="D59" t="s">
        <v>19</v>
      </c>
      <c r="E59" t="s">
        <v>19</v>
      </c>
      <c r="F59" t="s">
        <v>19</v>
      </c>
      <c r="G59" t="s">
        <v>19</v>
      </c>
      <c r="H59" t="s">
        <v>19</v>
      </c>
      <c r="I59" t="s">
        <v>19</v>
      </c>
      <c r="J59" t="s">
        <v>19</v>
      </c>
      <c r="K59" t="s">
        <v>19</v>
      </c>
    </row>
    <row r="60" spans="1:13" x14ac:dyDescent="0.3">
      <c r="A60" t="s">
        <v>20</v>
      </c>
      <c r="B60" t="s">
        <v>20</v>
      </c>
      <c r="C60" t="s">
        <v>20</v>
      </c>
      <c r="D60" t="s">
        <v>20</v>
      </c>
      <c r="E60" t="s">
        <v>20</v>
      </c>
      <c r="F60" t="s">
        <v>20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</row>
    <row r="61" spans="1:13" x14ac:dyDescent="0.3">
      <c r="A61" t="s">
        <v>15</v>
      </c>
      <c r="B61" t="s">
        <v>15</v>
      </c>
      <c r="C61" t="s">
        <v>15</v>
      </c>
      <c r="D61" t="s">
        <v>15</v>
      </c>
      <c r="E61" t="s">
        <v>15</v>
      </c>
      <c r="F61" t="s">
        <v>15</v>
      </c>
      <c r="G61" t="s">
        <v>15</v>
      </c>
      <c r="H61" t="s">
        <v>15</v>
      </c>
      <c r="I61" t="s">
        <v>15</v>
      </c>
      <c r="J61" t="s">
        <v>15</v>
      </c>
      <c r="K61" t="s">
        <v>15</v>
      </c>
      <c r="L61" t="s">
        <v>16</v>
      </c>
      <c r="M61" t="s">
        <v>17</v>
      </c>
    </row>
    <row r="62" spans="1:13" x14ac:dyDescent="0.3">
      <c r="A62">
        <v>2088.83</v>
      </c>
      <c r="B62">
        <v>2088.83</v>
      </c>
      <c r="C62">
        <v>2088.83</v>
      </c>
      <c r="D62">
        <v>2088.83</v>
      </c>
      <c r="E62">
        <v>2088.83</v>
      </c>
      <c r="F62">
        <v>2088.83</v>
      </c>
      <c r="G62">
        <v>2088.83</v>
      </c>
      <c r="H62">
        <v>2088.83</v>
      </c>
      <c r="I62">
        <v>2088.83</v>
      </c>
      <c r="J62">
        <v>2088.83</v>
      </c>
      <c r="K62">
        <v>2088.83</v>
      </c>
    </row>
    <row r="63" spans="1:13" x14ac:dyDescent="0.3">
      <c r="A63">
        <v>1.71</v>
      </c>
      <c r="B63">
        <v>1.71</v>
      </c>
      <c r="C63">
        <v>1.71</v>
      </c>
      <c r="D63">
        <v>1.71</v>
      </c>
      <c r="E63">
        <v>1.71</v>
      </c>
      <c r="F63">
        <v>1.71</v>
      </c>
      <c r="G63">
        <v>1.71</v>
      </c>
      <c r="H63">
        <v>1.71</v>
      </c>
      <c r="I63">
        <v>1.71</v>
      </c>
      <c r="J63">
        <v>1.71</v>
      </c>
      <c r="K63">
        <v>1.71</v>
      </c>
    </row>
    <row r="64" spans="1:13" x14ac:dyDescent="0.3">
      <c r="A64">
        <v>100</v>
      </c>
      <c r="B64">
        <v>100</v>
      </c>
      <c r="C64">
        <v>100</v>
      </c>
      <c r="D64">
        <v>100</v>
      </c>
      <c r="E64">
        <v>100</v>
      </c>
      <c r="F64">
        <v>100</v>
      </c>
      <c r="G64">
        <v>100</v>
      </c>
      <c r="H64">
        <v>100</v>
      </c>
      <c r="I64">
        <v>100</v>
      </c>
      <c r="J64">
        <v>100</v>
      </c>
      <c r="K64">
        <v>100</v>
      </c>
    </row>
    <row r="65" spans="1:13" x14ac:dyDescent="0.3">
      <c r="A65">
        <v>2089.4</v>
      </c>
      <c r="B65">
        <v>2089.4</v>
      </c>
      <c r="C65">
        <v>2089.4</v>
      </c>
      <c r="D65">
        <v>2089.4</v>
      </c>
      <c r="E65">
        <v>2089.4</v>
      </c>
      <c r="F65">
        <v>2089.4</v>
      </c>
      <c r="G65">
        <v>2089.4</v>
      </c>
      <c r="H65">
        <v>2089.4</v>
      </c>
      <c r="I65">
        <v>2089.4</v>
      </c>
      <c r="J65">
        <v>2089.4</v>
      </c>
      <c r="K65">
        <v>2089.4</v>
      </c>
    </row>
    <row r="66" spans="1:13" x14ac:dyDescent="0.3">
      <c r="A66">
        <v>2090.9699999999998</v>
      </c>
      <c r="B66">
        <v>2090.9699999999998</v>
      </c>
      <c r="C66">
        <v>2090.9699999999998</v>
      </c>
      <c r="D66">
        <v>2090.9699999999998</v>
      </c>
      <c r="E66">
        <v>2090.9699999999998</v>
      </c>
      <c r="F66">
        <v>2090.9699999999998</v>
      </c>
      <c r="G66">
        <v>2090.9699999999998</v>
      </c>
      <c r="H66">
        <v>2090.9699999999998</v>
      </c>
      <c r="I66">
        <v>2090.9699999999998</v>
      </c>
      <c r="J66">
        <v>2090.9699999999998</v>
      </c>
      <c r="K66">
        <v>2090.9699999999998</v>
      </c>
    </row>
    <row r="67" spans="1:13" x14ac:dyDescent="0.3">
      <c r="A67">
        <v>100</v>
      </c>
      <c r="B67">
        <v>100</v>
      </c>
      <c r="C67">
        <v>100</v>
      </c>
      <c r="D67">
        <v>100</v>
      </c>
      <c r="E67">
        <v>100</v>
      </c>
      <c r="F67">
        <v>100</v>
      </c>
      <c r="G67">
        <v>100</v>
      </c>
      <c r="H67">
        <v>100</v>
      </c>
      <c r="I67">
        <v>100</v>
      </c>
      <c r="J67">
        <v>100</v>
      </c>
      <c r="K67">
        <v>100</v>
      </c>
    </row>
    <row r="68" spans="1:13" x14ac:dyDescent="0.3">
      <c r="A68" t="s">
        <v>25</v>
      </c>
      <c r="B68" t="s">
        <v>25</v>
      </c>
      <c r="C68" t="s">
        <v>25</v>
      </c>
      <c r="D68" t="s">
        <v>25</v>
      </c>
      <c r="E68" t="s">
        <v>25</v>
      </c>
      <c r="F68" t="s">
        <v>25</v>
      </c>
      <c r="G68" t="s">
        <v>25</v>
      </c>
      <c r="H68" t="s">
        <v>25</v>
      </c>
      <c r="I68" t="s">
        <v>25</v>
      </c>
      <c r="J68" t="s">
        <v>25</v>
      </c>
      <c r="K68" t="s">
        <v>25</v>
      </c>
    </row>
    <row r="69" spans="1:13" x14ac:dyDescent="0.3">
      <c r="A69">
        <v>1484958</v>
      </c>
      <c r="B69">
        <v>1484958</v>
      </c>
      <c r="C69">
        <v>1484958</v>
      </c>
      <c r="D69">
        <v>1484958</v>
      </c>
      <c r="E69">
        <v>1484958</v>
      </c>
      <c r="F69">
        <v>1484958</v>
      </c>
      <c r="G69">
        <v>1484958</v>
      </c>
      <c r="H69">
        <v>1484958</v>
      </c>
      <c r="I69">
        <v>1484958</v>
      </c>
      <c r="J69">
        <v>1484958</v>
      </c>
      <c r="K69">
        <v>1484958</v>
      </c>
    </row>
    <row r="70" spans="1:13" x14ac:dyDescent="0.3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3" x14ac:dyDescent="0.3">
      <c r="A71" t="s">
        <v>19</v>
      </c>
      <c r="B71" t="s">
        <v>19</v>
      </c>
      <c r="C71" t="s">
        <v>19</v>
      </c>
      <c r="D71" t="s">
        <v>19</v>
      </c>
      <c r="E71" t="s">
        <v>19</v>
      </c>
      <c r="F71" t="s">
        <v>19</v>
      </c>
      <c r="G71" t="s">
        <v>19</v>
      </c>
      <c r="H71" t="s">
        <v>19</v>
      </c>
      <c r="I71" t="s">
        <v>19</v>
      </c>
      <c r="J71" t="s">
        <v>19</v>
      </c>
      <c r="K71" t="s">
        <v>19</v>
      </c>
    </row>
    <row r="72" spans="1:13" x14ac:dyDescent="0.3">
      <c r="A72" t="s">
        <v>20</v>
      </c>
      <c r="B72" t="s">
        <v>20</v>
      </c>
      <c r="C72" t="s">
        <v>20</v>
      </c>
      <c r="D72" t="s">
        <v>20</v>
      </c>
      <c r="E72" t="s">
        <v>20</v>
      </c>
      <c r="F72" t="s">
        <v>20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</row>
    <row r="73" spans="1:13" x14ac:dyDescent="0.3">
      <c r="A73" t="s">
        <v>15</v>
      </c>
      <c r="B73" t="s">
        <v>15</v>
      </c>
      <c r="C73" t="s">
        <v>15</v>
      </c>
      <c r="D73" t="s">
        <v>15</v>
      </c>
      <c r="E73" t="s">
        <v>15</v>
      </c>
      <c r="F73" t="s">
        <v>15</v>
      </c>
      <c r="G73" t="s">
        <v>15</v>
      </c>
      <c r="H73" t="s">
        <v>15</v>
      </c>
      <c r="I73" t="s">
        <v>15</v>
      </c>
      <c r="J73" t="s">
        <v>15</v>
      </c>
      <c r="K73" t="s">
        <v>15</v>
      </c>
      <c r="L73" t="s">
        <v>16</v>
      </c>
      <c r="M73" t="s">
        <v>17</v>
      </c>
    </row>
    <row r="74" spans="1:13" x14ac:dyDescent="0.3">
      <c r="A74">
        <v>2098</v>
      </c>
      <c r="B74">
        <v>2098</v>
      </c>
      <c r="C74">
        <v>2098</v>
      </c>
      <c r="D74">
        <v>2098</v>
      </c>
      <c r="E74">
        <v>2098</v>
      </c>
      <c r="F74">
        <v>2098</v>
      </c>
      <c r="G74">
        <v>2098</v>
      </c>
      <c r="H74">
        <v>2098</v>
      </c>
      <c r="I74">
        <v>2098</v>
      </c>
      <c r="J74">
        <v>2098</v>
      </c>
      <c r="K74">
        <v>2098</v>
      </c>
    </row>
    <row r="75" spans="1:13" x14ac:dyDescent="0.3">
      <c r="A75">
        <v>1.73</v>
      </c>
      <c r="B75">
        <v>1.73</v>
      </c>
      <c r="C75">
        <v>1.73</v>
      </c>
      <c r="D75">
        <v>1.73</v>
      </c>
      <c r="E75">
        <v>1.73</v>
      </c>
      <c r="F75">
        <v>1.73</v>
      </c>
      <c r="G75">
        <v>1.73</v>
      </c>
      <c r="H75">
        <v>1.73</v>
      </c>
      <c r="I75">
        <v>1.73</v>
      </c>
      <c r="J75">
        <v>1.73</v>
      </c>
      <c r="K75">
        <v>1.73</v>
      </c>
    </row>
    <row r="76" spans="1:13" x14ac:dyDescent="0.3">
      <c r="A76">
        <v>100</v>
      </c>
      <c r="B76">
        <v>100</v>
      </c>
      <c r="C76">
        <v>100</v>
      </c>
      <c r="D76">
        <v>100</v>
      </c>
      <c r="E76">
        <v>100</v>
      </c>
      <c r="F76">
        <v>100</v>
      </c>
      <c r="G76">
        <v>100</v>
      </c>
      <c r="H76">
        <v>100</v>
      </c>
      <c r="I76">
        <v>100</v>
      </c>
      <c r="J76">
        <v>100</v>
      </c>
      <c r="K76">
        <v>100</v>
      </c>
    </row>
    <row r="77" spans="1:13" x14ac:dyDescent="0.3">
      <c r="A77">
        <v>2096.5100000000002</v>
      </c>
      <c r="B77">
        <v>2096.5100000000002</v>
      </c>
      <c r="C77">
        <v>2096.5100000000002</v>
      </c>
      <c r="D77">
        <v>2096.5100000000002</v>
      </c>
      <c r="E77">
        <v>2096.5100000000002</v>
      </c>
      <c r="F77">
        <v>2096.5100000000002</v>
      </c>
      <c r="G77">
        <v>2096.5100000000002</v>
      </c>
      <c r="H77">
        <v>2096.5100000000002</v>
      </c>
      <c r="I77">
        <v>2096.5100000000002</v>
      </c>
      <c r="J77">
        <v>2096.5100000000002</v>
      </c>
      <c r="K77">
        <v>2096.5100000000002</v>
      </c>
    </row>
    <row r="78" spans="1:13" x14ac:dyDescent="0.3">
      <c r="A78">
        <v>2099</v>
      </c>
      <c r="B78">
        <v>2099</v>
      </c>
      <c r="C78">
        <v>2099</v>
      </c>
      <c r="D78">
        <v>2099</v>
      </c>
      <c r="E78">
        <v>2099</v>
      </c>
      <c r="F78">
        <v>2099</v>
      </c>
      <c r="G78">
        <v>2099</v>
      </c>
      <c r="H78">
        <v>2099</v>
      </c>
      <c r="I78">
        <v>2099</v>
      </c>
      <c r="J78">
        <v>2099</v>
      </c>
      <c r="K78">
        <v>2099</v>
      </c>
    </row>
    <row r="79" spans="1:13" x14ac:dyDescent="0.3">
      <c r="A79">
        <v>100</v>
      </c>
      <c r="B79">
        <v>100</v>
      </c>
      <c r="C79">
        <v>100</v>
      </c>
      <c r="D79">
        <v>100</v>
      </c>
      <c r="E79">
        <v>100</v>
      </c>
      <c r="F79">
        <v>100</v>
      </c>
      <c r="G79">
        <v>100</v>
      </c>
      <c r="H79">
        <v>100</v>
      </c>
      <c r="I79">
        <v>100</v>
      </c>
      <c r="J79">
        <v>100</v>
      </c>
      <c r="K79">
        <v>100</v>
      </c>
    </row>
    <row r="80" spans="1:13" x14ac:dyDescent="0.3">
      <c r="A80" t="s">
        <v>25</v>
      </c>
      <c r="B80" t="s">
        <v>25</v>
      </c>
      <c r="C80" t="s">
        <v>25</v>
      </c>
      <c r="D80" t="s">
        <v>25</v>
      </c>
      <c r="E80" t="s">
        <v>25</v>
      </c>
      <c r="F80" t="s">
        <v>25</v>
      </c>
      <c r="G80" t="s">
        <v>25</v>
      </c>
      <c r="H80" t="s">
        <v>25</v>
      </c>
      <c r="I80" t="s">
        <v>25</v>
      </c>
      <c r="J80" t="s">
        <v>25</v>
      </c>
      <c r="K80" t="s">
        <v>25</v>
      </c>
    </row>
    <row r="81" spans="1:13" x14ac:dyDescent="0.3">
      <c r="A81">
        <v>1522006</v>
      </c>
      <c r="B81">
        <v>1522006</v>
      </c>
      <c r="C81">
        <v>1522006</v>
      </c>
      <c r="D81">
        <v>1522006</v>
      </c>
      <c r="E81">
        <v>1522006</v>
      </c>
      <c r="F81">
        <v>1522006</v>
      </c>
      <c r="G81">
        <v>1522006</v>
      </c>
      <c r="H81">
        <v>1522006</v>
      </c>
      <c r="I81">
        <v>1522006</v>
      </c>
      <c r="J81">
        <v>1522006</v>
      </c>
      <c r="K81">
        <v>1522006</v>
      </c>
    </row>
    <row r="82" spans="1:13" x14ac:dyDescent="0.3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1:13" x14ac:dyDescent="0.3">
      <c r="A83" t="s">
        <v>19</v>
      </c>
      <c r="B83" t="s">
        <v>19</v>
      </c>
      <c r="C83" t="s">
        <v>19</v>
      </c>
      <c r="D83" t="s">
        <v>19</v>
      </c>
      <c r="E83" t="s">
        <v>19</v>
      </c>
      <c r="F83" t="s">
        <v>19</v>
      </c>
      <c r="G83" t="s">
        <v>19</v>
      </c>
      <c r="H83" t="s">
        <v>19</v>
      </c>
      <c r="I83" t="s">
        <v>19</v>
      </c>
      <c r="J83" t="s">
        <v>19</v>
      </c>
      <c r="K83" t="s">
        <v>19</v>
      </c>
    </row>
    <row r="84" spans="1:13" x14ac:dyDescent="0.3">
      <c r="A84" t="s">
        <v>20</v>
      </c>
      <c r="B84" t="s">
        <v>20</v>
      </c>
      <c r="C84" t="s">
        <v>20</v>
      </c>
      <c r="D84" t="s">
        <v>20</v>
      </c>
      <c r="E84" t="s">
        <v>20</v>
      </c>
      <c r="F84" t="s">
        <v>20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</row>
    <row r="85" spans="1:13" x14ac:dyDescent="0.3">
      <c r="A85" t="s">
        <v>15</v>
      </c>
      <c r="B85" t="s">
        <v>15</v>
      </c>
      <c r="C85" t="s">
        <v>15</v>
      </c>
      <c r="D85" t="s">
        <v>15</v>
      </c>
      <c r="E85" t="s">
        <v>15</v>
      </c>
      <c r="F85" t="s">
        <v>15</v>
      </c>
      <c r="G85" t="s">
        <v>15</v>
      </c>
      <c r="H85" t="s">
        <v>15</v>
      </c>
      <c r="I85" t="s">
        <v>15</v>
      </c>
      <c r="J85" t="s">
        <v>15</v>
      </c>
      <c r="K85" t="s">
        <v>15</v>
      </c>
      <c r="L85" t="s">
        <v>16</v>
      </c>
      <c r="M85" t="s">
        <v>17</v>
      </c>
    </row>
    <row r="86" spans="1:13" x14ac:dyDescent="0.3">
      <c r="A86">
        <v>82.19</v>
      </c>
      <c r="B86">
        <v>82.19</v>
      </c>
      <c r="C86">
        <v>82.19</v>
      </c>
      <c r="D86">
        <v>82.19</v>
      </c>
      <c r="E86">
        <v>82.19</v>
      </c>
      <c r="F86">
        <v>82.19</v>
      </c>
      <c r="G86">
        <v>82.19</v>
      </c>
      <c r="H86">
        <v>82.19</v>
      </c>
      <c r="I86">
        <v>82.19</v>
      </c>
      <c r="J86">
        <v>82.19</v>
      </c>
      <c r="K86">
        <v>82.19</v>
      </c>
    </row>
    <row r="87" spans="1:13" x14ac:dyDescent="0.3">
      <c r="A87">
        <v>-0.02</v>
      </c>
      <c r="B87">
        <v>-0.02</v>
      </c>
      <c r="C87">
        <v>-0.02</v>
      </c>
      <c r="D87">
        <v>-0.02</v>
      </c>
      <c r="E87">
        <v>-0.02</v>
      </c>
      <c r="F87">
        <v>-0.02</v>
      </c>
      <c r="G87">
        <v>-0.02</v>
      </c>
      <c r="H87">
        <v>-0.02</v>
      </c>
      <c r="I87">
        <v>-0.02</v>
      </c>
      <c r="J87">
        <v>-0.02</v>
      </c>
      <c r="K87">
        <v>-0.02</v>
      </c>
    </row>
    <row r="88" spans="1:13" x14ac:dyDescent="0.3">
      <c r="A88">
        <v>200</v>
      </c>
      <c r="B88">
        <v>200</v>
      </c>
      <c r="C88">
        <v>200</v>
      </c>
      <c r="D88">
        <v>200</v>
      </c>
      <c r="E88">
        <v>200</v>
      </c>
      <c r="F88">
        <v>200</v>
      </c>
      <c r="G88">
        <v>200</v>
      </c>
      <c r="H88">
        <v>200</v>
      </c>
      <c r="I88">
        <v>200</v>
      </c>
      <c r="J88">
        <v>200</v>
      </c>
      <c r="K88">
        <v>200</v>
      </c>
    </row>
    <row r="89" spans="1:13" x14ac:dyDescent="0.3">
      <c r="A89">
        <v>82.1</v>
      </c>
      <c r="B89">
        <v>82.1</v>
      </c>
      <c r="C89">
        <v>82.1</v>
      </c>
      <c r="D89">
        <v>82.1</v>
      </c>
      <c r="E89">
        <v>82.1</v>
      </c>
      <c r="F89">
        <v>82.1</v>
      </c>
      <c r="G89">
        <v>82.1</v>
      </c>
      <c r="H89">
        <v>82.1</v>
      </c>
      <c r="I89">
        <v>82.1</v>
      </c>
      <c r="J89">
        <v>82.1</v>
      </c>
      <c r="K89">
        <v>82.1</v>
      </c>
    </row>
    <row r="90" spans="1:13" x14ac:dyDescent="0.3">
      <c r="A90">
        <v>82.47</v>
      </c>
      <c r="B90">
        <v>82.47</v>
      </c>
      <c r="C90">
        <v>82.47</v>
      </c>
      <c r="D90">
        <v>82.47</v>
      </c>
      <c r="E90">
        <v>82.47</v>
      </c>
      <c r="F90">
        <v>82.47</v>
      </c>
      <c r="G90">
        <v>82.47</v>
      </c>
      <c r="H90">
        <v>82.47</v>
      </c>
      <c r="I90">
        <v>82.47</v>
      </c>
      <c r="J90">
        <v>82.47</v>
      </c>
      <c r="K90">
        <v>82.47</v>
      </c>
    </row>
    <row r="91" spans="1:13" x14ac:dyDescent="0.3">
      <c r="A91">
        <v>200</v>
      </c>
      <c r="B91">
        <v>200</v>
      </c>
      <c r="C91">
        <v>200</v>
      </c>
      <c r="D91">
        <v>200</v>
      </c>
      <c r="E91">
        <v>200</v>
      </c>
      <c r="F91">
        <v>200</v>
      </c>
      <c r="G91">
        <v>200</v>
      </c>
      <c r="H91">
        <v>200</v>
      </c>
      <c r="I91">
        <v>200</v>
      </c>
      <c r="J91">
        <v>200</v>
      </c>
      <c r="K91">
        <v>200</v>
      </c>
    </row>
    <row r="92" spans="1:13" x14ac:dyDescent="0.3">
      <c r="A92" t="s">
        <v>26</v>
      </c>
      <c r="B92" t="s">
        <v>26</v>
      </c>
      <c r="C92" t="s">
        <v>26</v>
      </c>
      <c r="D92" t="s">
        <v>26</v>
      </c>
      <c r="E92" t="s">
        <v>26</v>
      </c>
      <c r="F92" t="s">
        <v>26</v>
      </c>
      <c r="G92" t="s">
        <v>26</v>
      </c>
      <c r="H92" t="s">
        <v>26</v>
      </c>
      <c r="I92" t="s">
        <v>26</v>
      </c>
      <c r="J92" t="s">
        <v>26</v>
      </c>
      <c r="K92" t="s">
        <v>26</v>
      </c>
    </row>
    <row r="93" spans="1:13" x14ac:dyDescent="0.3">
      <c r="A93">
        <v>1583922</v>
      </c>
      <c r="B93">
        <v>1583922</v>
      </c>
      <c r="C93">
        <v>1583922</v>
      </c>
      <c r="D93">
        <v>1583922</v>
      </c>
      <c r="E93">
        <v>1583922</v>
      </c>
      <c r="F93">
        <v>1583922</v>
      </c>
      <c r="G93">
        <v>1583922</v>
      </c>
      <c r="H93">
        <v>1583922</v>
      </c>
      <c r="I93">
        <v>1583922</v>
      </c>
      <c r="J93">
        <v>1583922</v>
      </c>
      <c r="K93">
        <v>1583922</v>
      </c>
    </row>
    <row r="94" spans="1:13" x14ac:dyDescent="0.3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1:13" x14ac:dyDescent="0.3">
      <c r="A95" t="s">
        <v>19</v>
      </c>
      <c r="B95" t="s">
        <v>19</v>
      </c>
      <c r="C95" t="s">
        <v>19</v>
      </c>
      <c r="D95" t="s">
        <v>19</v>
      </c>
      <c r="E95" t="s">
        <v>19</v>
      </c>
      <c r="F95" t="s">
        <v>19</v>
      </c>
      <c r="G95" t="s">
        <v>19</v>
      </c>
      <c r="H95" t="s">
        <v>19</v>
      </c>
      <c r="I95" t="s">
        <v>19</v>
      </c>
      <c r="J95" t="s">
        <v>19</v>
      </c>
      <c r="K95" t="s">
        <v>19</v>
      </c>
    </row>
    <row r="96" spans="1:13" x14ac:dyDescent="0.3">
      <c r="A96" t="s">
        <v>20</v>
      </c>
      <c r="B96" t="s">
        <v>20</v>
      </c>
      <c r="C96" t="s">
        <v>20</v>
      </c>
      <c r="D96" t="s">
        <v>20</v>
      </c>
      <c r="E96" t="s">
        <v>20</v>
      </c>
      <c r="F96" t="s">
        <v>20</v>
      </c>
      <c r="G96" t="s">
        <v>20</v>
      </c>
      <c r="H96" t="s">
        <v>20</v>
      </c>
      <c r="I96" t="s">
        <v>20</v>
      </c>
      <c r="J96" t="s">
        <v>20</v>
      </c>
      <c r="K96" t="s">
        <v>20</v>
      </c>
    </row>
    <row r="97" spans="1:13" x14ac:dyDescent="0.3">
      <c r="A97" t="s">
        <v>15</v>
      </c>
      <c r="B97" t="s">
        <v>15</v>
      </c>
      <c r="C97" t="s">
        <v>15</v>
      </c>
      <c r="D97" t="s">
        <v>15</v>
      </c>
      <c r="E97" t="s">
        <v>15</v>
      </c>
      <c r="F97" t="s">
        <v>15</v>
      </c>
      <c r="G97" t="s">
        <v>15</v>
      </c>
      <c r="H97" t="s">
        <v>15</v>
      </c>
      <c r="I97" t="s">
        <v>15</v>
      </c>
      <c r="J97" t="s">
        <v>15</v>
      </c>
      <c r="K97" t="s">
        <v>15</v>
      </c>
      <c r="L97" t="s">
        <v>16</v>
      </c>
      <c r="M97" t="s">
        <v>17</v>
      </c>
    </row>
    <row r="98" spans="1:13" x14ac:dyDescent="0.3">
      <c r="A98">
        <v>3352.15</v>
      </c>
      <c r="B98">
        <v>3352.15</v>
      </c>
      <c r="C98">
        <v>3352.15</v>
      </c>
      <c r="D98">
        <v>3352.15</v>
      </c>
      <c r="E98">
        <v>3352.15</v>
      </c>
      <c r="F98">
        <v>3352.15</v>
      </c>
      <c r="G98">
        <v>3352.15</v>
      </c>
      <c r="H98">
        <v>3352.15</v>
      </c>
      <c r="I98">
        <v>3352.15</v>
      </c>
      <c r="J98">
        <v>3352.15</v>
      </c>
      <c r="K98">
        <v>3352.15</v>
      </c>
    </row>
    <row r="99" spans="1:13" x14ac:dyDescent="0.3">
      <c r="A99">
        <v>0.63</v>
      </c>
      <c r="B99">
        <v>0.63</v>
      </c>
      <c r="C99">
        <v>0.63</v>
      </c>
      <c r="D99">
        <v>0.63</v>
      </c>
      <c r="E99">
        <v>0.63</v>
      </c>
      <c r="F99">
        <v>0.63</v>
      </c>
      <c r="G99">
        <v>0.63</v>
      </c>
      <c r="H99">
        <v>0.63</v>
      </c>
      <c r="I99">
        <v>0.63</v>
      </c>
      <c r="J99">
        <v>0.63</v>
      </c>
      <c r="K99">
        <v>0.63</v>
      </c>
    </row>
    <row r="100" spans="1:13" x14ac:dyDescent="0.3">
      <c r="A100">
        <v>200</v>
      </c>
      <c r="B100">
        <v>200</v>
      </c>
      <c r="C100">
        <v>200</v>
      </c>
      <c r="D100">
        <v>200</v>
      </c>
      <c r="E100">
        <v>200</v>
      </c>
      <c r="F100">
        <v>200</v>
      </c>
      <c r="G100">
        <v>200</v>
      </c>
      <c r="H100">
        <v>200</v>
      </c>
      <c r="I100">
        <v>200</v>
      </c>
      <c r="J100">
        <v>200</v>
      </c>
      <c r="K100">
        <v>200</v>
      </c>
    </row>
    <row r="101" spans="1:13" x14ac:dyDescent="0.3">
      <c r="A101">
        <v>3349.25</v>
      </c>
      <c r="B101">
        <v>3349.25</v>
      </c>
      <c r="C101">
        <v>3349.25</v>
      </c>
      <c r="D101">
        <v>3349.25</v>
      </c>
      <c r="E101">
        <v>3349.25</v>
      </c>
      <c r="F101">
        <v>3349.25</v>
      </c>
      <c r="G101">
        <v>3349.25</v>
      </c>
      <c r="H101">
        <v>3349.25</v>
      </c>
      <c r="I101">
        <v>3349.25</v>
      </c>
      <c r="J101">
        <v>3349.25</v>
      </c>
      <c r="K101">
        <v>3349.25</v>
      </c>
    </row>
    <row r="102" spans="1:13" x14ac:dyDescent="0.3">
      <c r="A102">
        <v>3350</v>
      </c>
      <c r="B102">
        <v>3350</v>
      </c>
      <c r="C102">
        <v>3350</v>
      </c>
      <c r="D102">
        <v>3350</v>
      </c>
      <c r="E102">
        <v>3350</v>
      </c>
      <c r="F102">
        <v>3350</v>
      </c>
      <c r="G102">
        <v>3350</v>
      </c>
      <c r="H102">
        <v>3350</v>
      </c>
      <c r="I102">
        <v>3350</v>
      </c>
      <c r="J102">
        <v>3350</v>
      </c>
      <c r="K102">
        <v>3350</v>
      </c>
    </row>
    <row r="103" spans="1:13" x14ac:dyDescent="0.3">
      <c r="A103">
        <v>100</v>
      </c>
      <c r="B103">
        <v>100</v>
      </c>
      <c r="C103">
        <v>100</v>
      </c>
      <c r="D103">
        <v>100</v>
      </c>
      <c r="E103">
        <v>100</v>
      </c>
      <c r="F103">
        <v>100</v>
      </c>
      <c r="G103">
        <v>100</v>
      </c>
      <c r="H103">
        <v>100</v>
      </c>
      <c r="I103">
        <v>100</v>
      </c>
      <c r="J103">
        <v>100</v>
      </c>
      <c r="K103">
        <v>100</v>
      </c>
    </row>
    <row r="104" spans="1:13" x14ac:dyDescent="0.3">
      <c r="A104" t="s">
        <v>27</v>
      </c>
      <c r="B104" t="s">
        <v>27</v>
      </c>
      <c r="C104" t="s">
        <v>27</v>
      </c>
      <c r="D104" t="s">
        <v>27</v>
      </c>
      <c r="E104" t="s">
        <v>27</v>
      </c>
      <c r="F104" t="s">
        <v>27</v>
      </c>
      <c r="G104" t="s">
        <v>27</v>
      </c>
      <c r="H104" t="s">
        <v>27</v>
      </c>
      <c r="I104" t="s">
        <v>27</v>
      </c>
      <c r="J104" t="s">
        <v>27</v>
      </c>
      <c r="K104" t="s">
        <v>27</v>
      </c>
    </row>
    <row r="105" spans="1:13" x14ac:dyDescent="0.3">
      <c r="A105">
        <v>3594128</v>
      </c>
      <c r="B105">
        <v>3594128</v>
      </c>
      <c r="C105">
        <v>3594128</v>
      </c>
      <c r="D105">
        <v>3594128</v>
      </c>
      <c r="E105">
        <v>3594128</v>
      </c>
      <c r="F105">
        <v>3594128</v>
      </c>
      <c r="G105">
        <v>3594128</v>
      </c>
      <c r="H105">
        <v>3594128</v>
      </c>
      <c r="I105">
        <v>3594128</v>
      </c>
      <c r="J105">
        <v>3594128</v>
      </c>
      <c r="K105">
        <v>3594128</v>
      </c>
    </row>
    <row r="106" spans="1:13" x14ac:dyDescent="0.3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3" x14ac:dyDescent="0.3">
      <c r="A107" t="s">
        <v>19</v>
      </c>
      <c r="B107" t="s">
        <v>19</v>
      </c>
      <c r="C107" t="s">
        <v>19</v>
      </c>
      <c r="D107" t="s">
        <v>19</v>
      </c>
      <c r="E107" t="s">
        <v>19</v>
      </c>
      <c r="F107" t="s">
        <v>19</v>
      </c>
      <c r="G107" t="s">
        <v>19</v>
      </c>
      <c r="H107" t="s">
        <v>19</v>
      </c>
      <c r="I107" t="s">
        <v>19</v>
      </c>
      <c r="J107" t="s">
        <v>19</v>
      </c>
      <c r="K107" t="s">
        <v>19</v>
      </c>
    </row>
    <row r="108" spans="1:13" x14ac:dyDescent="0.3">
      <c r="A108" t="s">
        <v>28</v>
      </c>
      <c r="B108" t="s">
        <v>28</v>
      </c>
      <c r="C108" t="s">
        <v>28</v>
      </c>
      <c r="D108" t="s">
        <v>28</v>
      </c>
      <c r="E108" t="s">
        <v>28</v>
      </c>
      <c r="F108" t="s">
        <v>28</v>
      </c>
      <c r="G108" t="s">
        <v>28</v>
      </c>
      <c r="H108" t="s">
        <v>28</v>
      </c>
      <c r="I108" t="s">
        <v>28</v>
      </c>
      <c r="J108" t="s">
        <v>28</v>
      </c>
      <c r="K108" t="s">
        <v>28</v>
      </c>
    </row>
    <row r="109" spans="1:13" x14ac:dyDescent="0.3">
      <c r="A109" t="s">
        <v>15</v>
      </c>
      <c r="B109" t="s">
        <v>15</v>
      </c>
      <c r="C109" t="s">
        <v>15</v>
      </c>
      <c r="D109" t="s">
        <v>15</v>
      </c>
      <c r="E109" t="s">
        <v>15</v>
      </c>
      <c r="F109" t="s">
        <v>15</v>
      </c>
      <c r="G109" t="s">
        <v>15</v>
      </c>
      <c r="H109" t="s">
        <v>15</v>
      </c>
      <c r="I109" t="s">
        <v>15</v>
      </c>
      <c r="J109" t="s">
        <v>15</v>
      </c>
      <c r="K109" t="s">
        <v>15</v>
      </c>
      <c r="L109" t="s">
        <v>16</v>
      </c>
      <c r="M109" t="s">
        <v>17</v>
      </c>
    </row>
    <row r="110" spans="1:13" x14ac:dyDescent="0.3">
      <c r="A110">
        <v>236.32</v>
      </c>
      <c r="B110">
        <v>236.32</v>
      </c>
      <c r="C110">
        <v>236.32</v>
      </c>
      <c r="D110">
        <v>236.32</v>
      </c>
      <c r="E110">
        <v>236.32</v>
      </c>
      <c r="F110">
        <v>236.32</v>
      </c>
      <c r="G110">
        <v>236.32</v>
      </c>
      <c r="H110">
        <v>236.32</v>
      </c>
      <c r="I110">
        <v>236.32</v>
      </c>
      <c r="J110">
        <v>236.32</v>
      </c>
      <c r="K110">
        <v>236.32</v>
      </c>
    </row>
    <row r="111" spans="1:13" x14ac:dyDescent="0.3">
      <c r="A111">
        <v>-0.38</v>
      </c>
      <c r="B111">
        <v>-0.38</v>
      </c>
      <c r="C111">
        <v>-0.38</v>
      </c>
      <c r="D111">
        <v>-0.38</v>
      </c>
      <c r="E111">
        <v>-0.38</v>
      </c>
      <c r="F111">
        <v>-0.38</v>
      </c>
      <c r="G111">
        <v>-0.38</v>
      </c>
      <c r="H111">
        <v>-0.38</v>
      </c>
      <c r="I111">
        <v>-0.38</v>
      </c>
      <c r="J111">
        <v>-0.38</v>
      </c>
      <c r="K111">
        <v>-0.38</v>
      </c>
    </row>
    <row r="112" spans="1:13" x14ac:dyDescent="0.3">
      <c r="A112">
        <v>100</v>
      </c>
      <c r="B112">
        <v>100</v>
      </c>
      <c r="C112">
        <v>100</v>
      </c>
      <c r="D112">
        <v>100</v>
      </c>
      <c r="E112">
        <v>100</v>
      </c>
      <c r="F112">
        <v>100</v>
      </c>
      <c r="G112">
        <v>100</v>
      </c>
      <c r="H112">
        <v>100</v>
      </c>
      <c r="I112">
        <v>100</v>
      </c>
      <c r="J112">
        <v>100</v>
      </c>
      <c r="K112">
        <v>100</v>
      </c>
    </row>
    <row r="113" spans="1:13" x14ac:dyDescent="0.3">
      <c r="A113">
        <v>235.49</v>
      </c>
      <c r="B113">
        <v>235.49</v>
      </c>
      <c r="C113">
        <v>235.49</v>
      </c>
      <c r="D113">
        <v>235.49</v>
      </c>
      <c r="E113">
        <v>235.49</v>
      </c>
      <c r="F113">
        <v>235.49</v>
      </c>
      <c r="G113">
        <v>235.49</v>
      </c>
      <c r="H113">
        <v>235.49</v>
      </c>
      <c r="I113">
        <v>235.49</v>
      </c>
      <c r="J113">
        <v>235.49</v>
      </c>
      <c r="K113">
        <v>235.49</v>
      </c>
    </row>
    <row r="114" spans="1:13" x14ac:dyDescent="0.3">
      <c r="A114">
        <v>238</v>
      </c>
      <c r="B114">
        <v>238</v>
      </c>
      <c r="C114">
        <v>238</v>
      </c>
      <c r="D114">
        <v>238</v>
      </c>
      <c r="E114">
        <v>238</v>
      </c>
      <c r="F114">
        <v>238</v>
      </c>
      <c r="G114">
        <v>238</v>
      </c>
      <c r="H114">
        <v>238</v>
      </c>
      <c r="I114">
        <v>238</v>
      </c>
      <c r="J114">
        <v>238</v>
      </c>
      <c r="K114">
        <v>238</v>
      </c>
    </row>
    <row r="115" spans="1:13" x14ac:dyDescent="0.3">
      <c r="A115">
        <v>500</v>
      </c>
      <c r="B115">
        <v>500</v>
      </c>
      <c r="C115">
        <v>500</v>
      </c>
      <c r="D115">
        <v>500</v>
      </c>
      <c r="E115">
        <v>500</v>
      </c>
      <c r="F115">
        <v>500</v>
      </c>
      <c r="G115">
        <v>500</v>
      </c>
      <c r="H115">
        <v>500</v>
      </c>
      <c r="I115">
        <v>500</v>
      </c>
      <c r="J115">
        <v>500</v>
      </c>
      <c r="K115">
        <v>500</v>
      </c>
    </row>
    <row r="116" spans="1:13" x14ac:dyDescent="0.3">
      <c r="A116" t="s">
        <v>21</v>
      </c>
      <c r="B116" t="s">
        <v>21</v>
      </c>
      <c r="C116" t="s">
        <v>21</v>
      </c>
      <c r="D116" t="s">
        <v>21</v>
      </c>
      <c r="E116" t="s">
        <v>21</v>
      </c>
      <c r="F116" t="s">
        <v>21</v>
      </c>
      <c r="G116" t="s">
        <v>21</v>
      </c>
      <c r="H116" t="s">
        <v>21</v>
      </c>
      <c r="I116" t="s">
        <v>21</v>
      </c>
      <c r="J116" t="s">
        <v>21</v>
      </c>
      <c r="K116" t="s">
        <v>21</v>
      </c>
    </row>
    <row r="117" spans="1:13" x14ac:dyDescent="0.3">
      <c r="A117">
        <v>2231084</v>
      </c>
      <c r="B117">
        <v>2231084</v>
      </c>
      <c r="C117">
        <v>2231084</v>
      </c>
      <c r="D117">
        <v>2231084</v>
      </c>
      <c r="E117">
        <v>2231084</v>
      </c>
      <c r="F117">
        <v>2231084</v>
      </c>
      <c r="G117">
        <v>2231084</v>
      </c>
      <c r="H117">
        <v>2231084</v>
      </c>
      <c r="I117">
        <v>2231084</v>
      </c>
      <c r="J117">
        <v>2231084</v>
      </c>
      <c r="K117">
        <v>2231084</v>
      </c>
    </row>
    <row r="118" spans="1:13" x14ac:dyDescent="0.3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1:13" x14ac:dyDescent="0.3">
      <c r="A119" t="s">
        <v>19</v>
      </c>
      <c r="B119" t="s">
        <v>19</v>
      </c>
      <c r="C119" t="s">
        <v>19</v>
      </c>
      <c r="D119" t="s">
        <v>19</v>
      </c>
      <c r="E119" t="s">
        <v>19</v>
      </c>
      <c r="F119" t="s">
        <v>19</v>
      </c>
      <c r="G119" t="s">
        <v>19</v>
      </c>
      <c r="H119" t="s">
        <v>19</v>
      </c>
      <c r="I119" t="s">
        <v>19</v>
      </c>
      <c r="J119" t="s">
        <v>19</v>
      </c>
      <c r="K119" t="s">
        <v>19</v>
      </c>
    </row>
    <row r="120" spans="1:13" x14ac:dyDescent="0.3">
      <c r="A120" t="s">
        <v>20</v>
      </c>
      <c r="B120" t="s">
        <v>20</v>
      </c>
      <c r="C120" t="s">
        <v>20</v>
      </c>
      <c r="D120" t="s">
        <v>20</v>
      </c>
      <c r="E120" t="s">
        <v>20</v>
      </c>
      <c r="F120" t="s">
        <v>20</v>
      </c>
      <c r="G120" t="s">
        <v>20</v>
      </c>
      <c r="H120" t="s">
        <v>20</v>
      </c>
      <c r="I120" t="s">
        <v>20</v>
      </c>
      <c r="J120" t="s">
        <v>20</v>
      </c>
      <c r="K120" t="s">
        <v>20</v>
      </c>
    </row>
    <row r="121" spans="1:13" x14ac:dyDescent="0.3">
      <c r="A121" t="s">
        <v>15</v>
      </c>
      <c r="B121" t="s">
        <v>15</v>
      </c>
      <c r="C121" t="s">
        <v>15</v>
      </c>
      <c r="D121" t="s">
        <v>15</v>
      </c>
      <c r="E121" t="s">
        <v>15</v>
      </c>
      <c r="F121" t="s">
        <v>15</v>
      </c>
      <c r="G121" t="s">
        <v>15</v>
      </c>
      <c r="H121" t="s">
        <v>15</v>
      </c>
      <c r="I121" t="s">
        <v>15</v>
      </c>
      <c r="J121" t="s">
        <v>15</v>
      </c>
      <c r="K121" t="s">
        <v>15</v>
      </c>
      <c r="L121" t="s">
        <v>16</v>
      </c>
      <c r="M121" t="s">
        <v>17</v>
      </c>
    </row>
    <row r="122" spans="1:13" x14ac:dyDescent="0.3">
      <c r="A122">
        <v>148.76</v>
      </c>
      <c r="B122">
        <v>148.76</v>
      </c>
      <c r="C122">
        <v>148.76</v>
      </c>
      <c r="D122">
        <v>148.76</v>
      </c>
      <c r="E122">
        <v>148.76</v>
      </c>
      <c r="F122">
        <v>148.76</v>
      </c>
      <c r="G122">
        <v>148.76</v>
      </c>
      <c r="H122">
        <v>148.76</v>
      </c>
      <c r="I122">
        <v>148.76</v>
      </c>
      <c r="J122">
        <v>148.76</v>
      </c>
      <c r="K122">
        <v>148.76</v>
      </c>
    </row>
    <row r="123" spans="1:13" x14ac:dyDescent="0.3">
      <c r="A123">
        <v>-1.17</v>
      </c>
      <c r="B123">
        <v>-1.17</v>
      </c>
      <c r="C123">
        <v>-1.17</v>
      </c>
      <c r="D123">
        <v>-1.17</v>
      </c>
      <c r="E123">
        <v>-1.17</v>
      </c>
      <c r="F123">
        <v>-1.17</v>
      </c>
      <c r="G123">
        <v>-1.17</v>
      </c>
      <c r="H123">
        <v>-1.17</v>
      </c>
      <c r="I123">
        <v>-1.17</v>
      </c>
      <c r="J123">
        <v>-1.17</v>
      </c>
      <c r="K123">
        <v>-1.17</v>
      </c>
    </row>
    <row r="124" spans="1:13" x14ac:dyDescent="0.3">
      <c r="A124">
        <v>100</v>
      </c>
      <c r="B124">
        <v>100</v>
      </c>
      <c r="C124">
        <v>100</v>
      </c>
      <c r="D124">
        <v>100</v>
      </c>
      <c r="E124">
        <v>100</v>
      </c>
      <c r="F124">
        <v>100</v>
      </c>
      <c r="G124">
        <v>100</v>
      </c>
      <c r="H124">
        <v>100</v>
      </c>
      <c r="I124">
        <v>100</v>
      </c>
      <c r="J124">
        <v>100</v>
      </c>
      <c r="K124">
        <v>100</v>
      </c>
    </row>
    <row r="125" spans="1:13" x14ac:dyDescent="0.3">
      <c r="A125">
        <v>148.76</v>
      </c>
      <c r="B125">
        <v>148.76</v>
      </c>
      <c r="C125">
        <v>148.76</v>
      </c>
      <c r="D125">
        <v>148.76</v>
      </c>
      <c r="E125">
        <v>148.76</v>
      </c>
      <c r="F125">
        <v>148.76</v>
      </c>
      <c r="G125">
        <v>148.76</v>
      </c>
      <c r="H125">
        <v>148.76</v>
      </c>
      <c r="I125">
        <v>148.76</v>
      </c>
      <c r="J125">
        <v>148.76</v>
      </c>
      <c r="K125">
        <v>148.76</v>
      </c>
    </row>
    <row r="126" spans="1:13" x14ac:dyDescent="0.3">
      <c r="A126">
        <v>149.71</v>
      </c>
      <c r="B126">
        <v>149.71</v>
      </c>
      <c r="C126">
        <v>149.71</v>
      </c>
      <c r="D126">
        <v>149.71</v>
      </c>
      <c r="E126">
        <v>149.71</v>
      </c>
      <c r="F126">
        <v>149.71</v>
      </c>
      <c r="G126">
        <v>149.71</v>
      </c>
      <c r="H126">
        <v>149.71</v>
      </c>
      <c r="I126">
        <v>149.71</v>
      </c>
      <c r="J126">
        <v>149.71</v>
      </c>
      <c r="K126">
        <v>149.71</v>
      </c>
    </row>
    <row r="127" spans="1:13" x14ac:dyDescent="0.3">
      <c r="A127">
        <v>100</v>
      </c>
      <c r="B127">
        <v>100</v>
      </c>
      <c r="C127">
        <v>100</v>
      </c>
      <c r="D127">
        <v>100</v>
      </c>
      <c r="E127">
        <v>100</v>
      </c>
      <c r="F127">
        <v>100</v>
      </c>
      <c r="G127">
        <v>100</v>
      </c>
      <c r="H127">
        <v>100</v>
      </c>
      <c r="I127">
        <v>100</v>
      </c>
      <c r="J127">
        <v>100</v>
      </c>
      <c r="K127">
        <v>100</v>
      </c>
    </row>
    <row r="128" spans="1:13" x14ac:dyDescent="0.3">
      <c r="A128" t="s">
        <v>29</v>
      </c>
      <c r="B128" t="s">
        <v>29</v>
      </c>
      <c r="C128" t="s">
        <v>29</v>
      </c>
      <c r="D128" t="s">
        <v>29</v>
      </c>
      <c r="E128" t="s">
        <v>29</v>
      </c>
      <c r="F128" t="s">
        <v>29</v>
      </c>
      <c r="G128" t="s">
        <v>29</v>
      </c>
      <c r="H128" t="s">
        <v>29</v>
      </c>
      <c r="I128" t="s">
        <v>29</v>
      </c>
      <c r="J128" t="s">
        <v>29</v>
      </c>
      <c r="K128" t="s">
        <v>29</v>
      </c>
    </row>
    <row r="129" spans="1:13" x14ac:dyDescent="0.3">
      <c r="A129">
        <v>2169046</v>
      </c>
      <c r="B129">
        <v>2169046</v>
      </c>
      <c r="C129">
        <v>2169046</v>
      </c>
      <c r="D129">
        <v>2169046</v>
      </c>
      <c r="E129">
        <v>2169046</v>
      </c>
      <c r="F129">
        <v>2169046</v>
      </c>
      <c r="G129">
        <v>2169046</v>
      </c>
      <c r="H129">
        <v>2169046</v>
      </c>
      <c r="I129">
        <v>2169046</v>
      </c>
      <c r="J129">
        <v>2169046</v>
      </c>
      <c r="K129">
        <v>2169046</v>
      </c>
    </row>
    <row r="130" spans="1:13" x14ac:dyDescent="0.3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3" x14ac:dyDescent="0.3">
      <c r="A131" t="s">
        <v>19</v>
      </c>
      <c r="B131" t="s">
        <v>19</v>
      </c>
      <c r="C131" t="s">
        <v>19</v>
      </c>
      <c r="D131" t="s">
        <v>19</v>
      </c>
      <c r="E131" t="s">
        <v>19</v>
      </c>
      <c r="F131" t="s">
        <v>19</v>
      </c>
      <c r="G131" t="s">
        <v>19</v>
      </c>
      <c r="H131" t="s">
        <v>19</v>
      </c>
      <c r="I131" t="s">
        <v>19</v>
      </c>
      <c r="J131" t="s">
        <v>19</v>
      </c>
      <c r="K131" t="s">
        <v>19</v>
      </c>
    </row>
    <row r="132" spans="1:13" x14ac:dyDescent="0.3">
      <c r="A132" t="s">
        <v>20</v>
      </c>
      <c r="B132" t="s">
        <v>20</v>
      </c>
      <c r="C132" t="s">
        <v>20</v>
      </c>
      <c r="D132" t="s">
        <v>20</v>
      </c>
      <c r="E132" t="s">
        <v>20</v>
      </c>
      <c r="F132" t="s">
        <v>20</v>
      </c>
      <c r="G132" t="s">
        <v>20</v>
      </c>
      <c r="H132" t="s">
        <v>20</v>
      </c>
      <c r="I132" t="s">
        <v>20</v>
      </c>
      <c r="J132" t="s">
        <v>20</v>
      </c>
      <c r="K132" t="s">
        <v>20</v>
      </c>
    </row>
    <row r="133" spans="1:13" x14ac:dyDescent="0.3">
      <c r="A133" t="s">
        <v>15</v>
      </c>
      <c r="B133" t="s">
        <v>15</v>
      </c>
      <c r="C133" t="s">
        <v>15</v>
      </c>
      <c r="D133" t="s">
        <v>15</v>
      </c>
      <c r="E133" t="s">
        <v>15</v>
      </c>
      <c r="F133" t="s">
        <v>15</v>
      </c>
      <c r="G133" t="s">
        <v>15</v>
      </c>
      <c r="H133" t="s">
        <v>15</v>
      </c>
      <c r="I133" t="s">
        <v>15</v>
      </c>
      <c r="J133" t="s">
        <v>15</v>
      </c>
      <c r="K133" t="s">
        <v>15</v>
      </c>
      <c r="L133" t="s">
        <v>16</v>
      </c>
      <c r="M133" t="s">
        <v>17</v>
      </c>
    </row>
    <row r="134" spans="1:13" x14ac:dyDescent="0.3">
      <c r="A134">
        <v>379.48</v>
      </c>
      <c r="B134">
        <v>379.48</v>
      </c>
      <c r="C134">
        <v>379.48</v>
      </c>
      <c r="D134">
        <v>379.48</v>
      </c>
      <c r="E134">
        <v>379.48</v>
      </c>
      <c r="F134">
        <v>379.48</v>
      </c>
      <c r="G134">
        <v>379.48</v>
      </c>
      <c r="H134">
        <v>379.48</v>
      </c>
      <c r="I134">
        <v>379.48</v>
      </c>
      <c r="J134">
        <v>379.48</v>
      </c>
      <c r="K134">
        <v>379.48</v>
      </c>
    </row>
    <row r="135" spans="1:13" x14ac:dyDescent="0.3">
      <c r="A135">
        <v>0.55000000000000004</v>
      </c>
      <c r="B135">
        <v>0.55000000000000004</v>
      </c>
      <c r="C135">
        <v>0.55000000000000004</v>
      </c>
      <c r="D135">
        <v>0.55000000000000004</v>
      </c>
      <c r="E135">
        <v>0.55000000000000004</v>
      </c>
      <c r="F135">
        <v>0.55000000000000004</v>
      </c>
      <c r="G135">
        <v>0.55000000000000004</v>
      </c>
      <c r="H135">
        <v>0.55000000000000004</v>
      </c>
      <c r="I135">
        <v>0.55000000000000004</v>
      </c>
      <c r="J135">
        <v>0.55000000000000004</v>
      </c>
      <c r="K135">
        <v>0.55000000000000004</v>
      </c>
    </row>
    <row r="136" spans="1:13" x14ac:dyDescent="0.3">
      <c r="A136">
        <v>100</v>
      </c>
      <c r="B136">
        <v>100</v>
      </c>
      <c r="C136">
        <v>100</v>
      </c>
      <c r="D136">
        <v>100</v>
      </c>
      <c r="E136">
        <v>100</v>
      </c>
      <c r="F136">
        <v>100</v>
      </c>
      <c r="G136">
        <v>100</v>
      </c>
      <c r="H136">
        <v>100</v>
      </c>
      <c r="I136">
        <v>100</v>
      </c>
      <c r="J136">
        <v>100</v>
      </c>
      <c r="K136">
        <v>100</v>
      </c>
    </row>
    <row r="137" spans="1:13" x14ac:dyDescent="0.3">
      <c r="A137">
        <v>371.14</v>
      </c>
      <c r="B137">
        <v>371.14</v>
      </c>
      <c r="C137">
        <v>371.14</v>
      </c>
      <c r="D137">
        <v>371.14</v>
      </c>
      <c r="E137">
        <v>371.14</v>
      </c>
      <c r="F137">
        <v>371.14</v>
      </c>
      <c r="G137">
        <v>371.14</v>
      </c>
      <c r="H137">
        <v>371.14</v>
      </c>
      <c r="I137">
        <v>371.14</v>
      </c>
      <c r="J137">
        <v>371.14</v>
      </c>
      <c r="K137">
        <v>371.14</v>
      </c>
    </row>
    <row r="138" spans="1:13" x14ac:dyDescent="0.3">
      <c r="A138">
        <v>399.99</v>
      </c>
      <c r="B138">
        <v>399.99</v>
      </c>
      <c r="C138">
        <v>399.99</v>
      </c>
      <c r="D138">
        <v>399.99</v>
      </c>
      <c r="E138">
        <v>399.99</v>
      </c>
      <c r="F138">
        <v>399.99</v>
      </c>
      <c r="G138">
        <v>399.99</v>
      </c>
      <c r="H138">
        <v>399.99</v>
      </c>
      <c r="I138">
        <v>399.99</v>
      </c>
      <c r="J138">
        <v>399.99</v>
      </c>
      <c r="K138">
        <v>399.99</v>
      </c>
    </row>
    <row r="139" spans="1:13" x14ac:dyDescent="0.3">
      <c r="A139">
        <v>100</v>
      </c>
      <c r="B139">
        <v>100</v>
      </c>
      <c r="C139">
        <v>100</v>
      </c>
      <c r="D139">
        <v>100</v>
      </c>
      <c r="E139">
        <v>100</v>
      </c>
      <c r="F139">
        <v>100</v>
      </c>
      <c r="G139">
        <v>100</v>
      </c>
      <c r="H139">
        <v>100</v>
      </c>
      <c r="I139">
        <v>100</v>
      </c>
      <c r="J139">
        <v>100</v>
      </c>
      <c r="K139">
        <v>100</v>
      </c>
    </row>
    <row r="140" spans="1:13" x14ac:dyDescent="0.3">
      <c r="A140" t="s">
        <v>30</v>
      </c>
      <c r="B140" t="s">
        <v>30</v>
      </c>
      <c r="C140" t="s">
        <v>30</v>
      </c>
      <c r="D140" t="s">
        <v>30</v>
      </c>
      <c r="E140" t="s">
        <v>30</v>
      </c>
      <c r="F140" t="s">
        <v>30</v>
      </c>
      <c r="G140" t="s">
        <v>30</v>
      </c>
      <c r="H140" t="s">
        <v>30</v>
      </c>
      <c r="I140" t="s">
        <v>30</v>
      </c>
      <c r="J140" t="s">
        <v>30</v>
      </c>
      <c r="K140" t="s">
        <v>30</v>
      </c>
    </row>
    <row r="141" spans="1:13" x14ac:dyDescent="0.3">
      <c r="A141">
        <v>306264</v>
      </c>
      <c r="B141">
        <v>306264</v>
      </c>
      <c r="C141">
        <v>306264</v>
      </c>
      <c r="D141">
        <v>306264</v>
      </c>
      <c r="E141">
        <v>306264</v>
      </c>
      <c r="F141">
        <v>306264</v>
      </c>
      <c r="G141">
        <v>306264</v>
      </c>
      <c r="H141">
        <v>306264</v>
      </c>
      <c r="I141">
        <v>306264</v>
      </c>
      <c r="J141">
        <v>306264</v>
      </c>
      <c r="K141">
        <v>306264</v>
      </c>
    </row>
    <row r="142" spans="1:13" x14ac:dyDescent="0.3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3" x14ac:dyDescent="0.3">
      <c r="A143" t="s">
        <v>19</v>
      </c>
      <c r="B143" t="s">
        <v>19</v>
      </c>
      <c r="C143" t="s">
        <v>19</v>
      </c>
      <c r="D143" t="s">
        <v>19</v>
      </c>
      <c r="E143" t="s">
        <v>19</v>
      </c>
      <c r="F143" t="s">
        <v>19</v>
      </c>
      <c r="G143" t="s">
        <v>19</v>
      </c>
      <c r="H143" t="s">
        <v>19</v>
      </c>
      <c r="I143" t="s">
        <v>19</v>
      </c>
      <c r="J143" t="s">
        <v>19</v>
      </c>
      <c r="K143" t="s">
        <v>19</v>
      </c>
    </row>
    <row r="144" spans="1:13" x14ac:dyDescent="0.3">
      <c r="A144" t="s">
        <v>20</v>
      </c>
      <c r="B144" t="s">
        <v>20</v>
      </c>
      <c r="C144" t="s">
        <v>20</v>
      </c>
      <c r="D144" t="s">
        <v>20</v>
      </c>
      <c r="E144" t="s">
        <v>20</v>
      </c>
      <c r="F144" t="s">
        <v>20</v>
      </c>
      <c r="G144" t="s">
        <v>20</v>
      </c>
      <c r="H144" t="s">
        <v>20</v>
      </c>
      <c r="I144" t="s">
        <v>20</v>
      </c>
      <c r="J144" t="s">
        <v>20</v>
      </c>
      <c r="K144" t="s">
        <v>20</v>
      </c>
    </row>
    <row r="145" spans="1:13" x14ac:dyDescent="0.3">
      <c r="A145" t="s">
        <v>15</v>
      </c>
      <c r="B145" t="s">
        <v>15</v>
      </c>
      <c r="C145" t="s">
        <v>15</v>
      </c>
      <c r="D145" t="s">
        <v>15</v>
      </c>
      <c r="E145" t="s">
        <v>15</v>
      </c>
      <c r="F145" t="s">
        <v>15</v>
      </c>
      <c r="G145" t="s">
        <v>15</v>
      </c>
      <c r="H145" t="s">
        <v>15</v>
      </c>
      <c r="I145" t="s">
        <v>15</v>
      </c>
      <c r="J145" t="s">
        <v>15</v>
      </c>
      <c r="K145" t="s">
        <v>15</v>
      </c>
      <c r="L145" t="s">
        <v>16</v>
      </c>
      <c r="M145" t="s">
        <v>17</v>
      </c>
    </row>
    <row r="146" spans="1:13" x14ac:dyDescent="0.3">
      <c r="A146">
        <v>136.76</v>
      </c>
      <c r="B146">
        <v>136.76</v>
      </c>
      <c r="C146">
        <v>136.76</v>
      </c>
      <c r="D146">
        <v>136.76</v>
      </c>
      <c r="E146">
        <v>136.76</v>
      </c>
      <c r="F146">
        <v>136.76</v>
      </c>
      <c r="G146">
        <v>136.76</v>
      </c>
      <c r="H146">
        <v>136.76</v>
      </c>
      <c r="I146">
        <v>136.76</v>
      </c>
      <c r="J146">
        <v>136.76</v>
      </c>
      <c r="K146">
        <v>136.76</v>
      </c>
    </row>
    <row r="147" spans="1:13" x14ac:dyDescent="0.3">
      <c r="A147">
        <v>-0.31</v>
      </c>
      <c r="B147">
        <v>-0.31</v>
      </c>
      <c r="C147">
        <v>-0.31</v>
      </c>
      <c r="D147">
        <v>-0.31</v>
      </c>
      <c r="E147">
        <v>-0.31</v>
      </c>
      <c r="F147">
        <v>-0.31</v>
      </c>
      <c r="G147">
        <v>-0.31</v>
      </c>
      <c r="H147">
        <v>-0.31</v>
      </c>
      <c r="I147">
        <v>-0.31</v>
      </c>
      <c r="J147">
        <v>-0.31</v>
      </c>
      <c r="K147">
        <v>-0.31</v>
      </c>
    </row>
    <row r="148" spans="1:13" x14ac:dyDescent="0.3">
      <c r="A148">
        <v>100</v>
      </c>
      <c r="B148">
        <v>100</v>
      </c>
      <c r="C148">
        <v>100</v>
      </c>
      <c r="D148">
        <v>100</v>
      </c>
      <c r="E148">
        <v>100</v>
      </c>
      <c r="F148">
        <v>100</v>
      </c>
      <c r="G148">
        <v>100</v>
      </c>
      <c r="H148">
        <v>100</v>
      </c>
      <c r="I148">
        <v>100</v>
      </c>
      <c r="J148">
        <v>100</v>
      </c>
      <c r="K148">
        <v>100</v>
      </c>
    </row>
    <row r="149" spans="1:13" x14ac:dyDescent="0.3">
      <c r="A149">
        <v>136.51</v>
      </c>
      <c r="B149">
        <v>136.51</v>
      </c>
      <c r="C149">
        <v>136.51</v>
      </c>
      <c r="D149">
        <v>136.51</v>
      </c>
      <c r="E149">
        <v>136.51</v>
      </c>
      <c r="F149">
        <v>136.51</v>
      </c>
      <c r="G149">
        <v>136.51</v>
      </c>
      <c r="H149">
        <v>136.51</v>
      </c>
      <c r="I149">
        <v>136.51</v>
      </c>
      <c r="J149">
        <v>136.51</v>
      </c>
      <c r="K149">
        <v>136.51</v>
      </c>
    </row>
    <row r="150" spans="1:13" x14ac:dyDescent="0.3">
      <c r="A150">
        <v>136.55000000000001</v>
      </c>
      <c r="B150">
        <v>136.55000000000001</v>
      </c>
      <c r="C150">
        <v>136.55000000000001</v>
      </c>
      <c r="D150">
        <v>136.55000000000001</v>
      </c>
      <c r="E150">
        <v>136.55000000000001</v>
      </c>
      <c r="F150">
        <v>136.55000000000001</v>
      </c>
      <c r="G150">
        <v>136.55000000000001</v>
      </c>
      <c r="H150">
        <v>136.55000000000001</v>
      </c>
      <c r="I150">
        <v>136.55000000000001</v>
      </c>
      <c r="J150">
        <v>136.55000000000001</v>
      </c>
      <c r="K150">
        <v>136.55000000000001</v>
      </c>
    </row>
    <row r="151" spans="1:13" x14ac:dyDescent="0.3">
      <c r="A151">
        <v>100</v>
      </c>
      <c r="B151">
        <v>100</v>
      </c>
      <c r="C151">
        <v>100</v>
      </c>
      <c r="D151">
        <v>100</v>
      </c>
      <c r="E151">
        <v>100</v>
      </c>
      <c r="F151">
        <v>100</v>
      </c>
      <c r="G151">
        <v>100</v>
      </c>
      <c r="H151">
        <v>100</v>
      </c>
      <c r="I151">
        <v>100</v>
      </c>
      <c r="J151">
        <v>100</v>
      </c>
      <c r="K151">
        <v>100</v>
      </c>
    </row>
    <row r="152" spans="1:13" x14ac:dyDescent="0.3">
      <c r="A152" t="s">
        <v>31</v>
      </c>
      <c r="B152" t="s">
        <v>31</v>
      </c>
      <c r="C152" t="s">
        <v>31</v>
      </c>
      <c r="D152" t="s">
        <v>31</v>
      </c>
      <c r="E152" t="s">
        <v>31</v>
      </c>
      <c r="F152" t="s">
        <v>31</v>
      </c>
      <c r="G152" t="s">
        <v>31</v>
      </c>
      <c r="H152" t="s">
        <v>31</v>
      </c>
      <c r="I152" t="s">
        <v>31</v>
      </c>
      <c r="J152" t="s">
        <v>31</v>
      </c>
      <c r="K152" t="s">
        <v>31</v>
      </c>
    </row>
    <row r="153" spans="1:13" x14ac:dyDescent="0.3">
      <c r="A153">
        <v>75277646</v>
      </c>
      <c r="B153">
        <v>75277646</v>
      </c>
      <c r="C153">
        <v>75277646</v>
      </c>
      <c r="D153">
        <v>75277646</v>
      </c>
      <c r="E153">
        <v>75277646</v>
      </c>
      <c r="F153">
        <v>75277646</v>
      </c>
      <c r="G153">
        <v>75277646</v>
      </c>
      <c r="H153">
        <v>75277646</v>
      </c>
      <c r="I153">
        <v>75277646</v>
      </c>
      <c r="J153">
        <v>75277646</v>
      </c>
      <c r="K153">
        <v>75277646</v>
      </c>
    </row>
    <row r="154" spans="1:13" x14ac:dyDescent="0.3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3" x14ac:dyDescent="0.3">
      <c r="A155" t="s">
        <v>19</v>
      </c>
      <c r="B155" t="s">
        <v>19</v>
      </c>
      <c r="C155" t="s">
        <v>19</v>
      </c>
      <c r="D155" t="s">
        <v>19</v>
      </c>
      <c r="E155" t="s">
        <v>19</v>
      </c>
      <c r="F155" t="s">
        <v>19</v>
      </c>
      <c r="G155" t="s">
        <v>19</v>
      </c>
      <c r="H155" t="s">
        <v>19</v>
      </c>
      <c r="I155" t="s">
        <v>19</v>
      </c>
      <c r="J155" t="s">
        <v>19</v>
      </c>
      <c r="K155" t="s">
        <v>19</v>
      </c>
    </row>
    <row r="156" spans="1:13" x14ac:dyDescent="0.3">
      <c r="A156" t="s">
        <v>20</v>
      </c>
      <c r="B156" t="s">
        <v>20</v>
      </c>
      <c r="C156" t="s">
        <v>20</v>
      </c>
      <c r="D156" t="s">
        <v>20</v>
      </c>
      <c r="E156" t="s">
        <v>20</v>
      </c>
      <c r="F156" t="s">
        <v>20</v>
      </c>
      <c r="G156" t="s">
        <v>20</v>
      </c>
      <c r="H156" t="s">
        <v>20</v>
      </c>
      <c r="I156" t="s">
        <v>20</v>
      </c>
      <c r="J156" t="s">
        <v>20</v>
      </c>
      <c r="K156" t="s">
        <v>20</v>
      </c>
    </row>
    <row r="157" spans="1:13" x14ac:dyDescent="0.3">
      <c r="A157" t="s">
        <v>15</v>
      </c>
      <c r="B157" t="s">
        <v>15</v>
      </c>
      <c r="C157" t="s">
        <v>15</v>
      </c>
      <c r="D157" t="s">
        <v>15</v>
      </c>
      <c r="E157" t="s">
        <v>15</v>
      </c>
      <c r="F157" t="s">
        <v>15</v>
      </c>
      <c r="G157" t="s">
        <v>15</v>
      </c>
      <c r="H157" t="s">
        <v>15</v>
      </c>
      <c r="I157" t="s">
        <v>15</v>
      </c>
      <c r="J157" t="s">
        <v>15</v>
      </c>
      <c r="K157" t="s">
        <v>15</v>
      </c>
      <c r="L157" t="s">
        <v>16</v>
      </c>
      <c r="M157" t="s">
        <v>17</v>
      </c>
    </row>
    <row r="158" spans="1:13" x14ac:dyDescent="0.3">
      <c r="A158">
        <v>100.71</v>
      </c>
      <c r="B158">
        <v>100.71</v>
      </c>
      <c r="C158">
        <v>100.71</v>
      </c>
      <c r="D158">
        <v>100.71</v>
      </c>
      <c r="E158">
        <v>100.71</v>
      </c>
      <c r="F158">
        <v>100.71</v>
      </c>
      <c r="G158">
        <v>100.71</v>
      </c>
      <c r="H158">
        <v>100.71</v>
      </c>
      <c r="I158">
        <v>100.71</v>
      </c>
      <c r="J158">
        <v>100.71</v>
      </c>
      <c r="K158">
        <v>100.71</v>
      </c>
    </row>
    <row r="159" spans="1:13" x14ac:dyDescent="0.3">
      <c r="A159">
        <v>-2.4500000000000002</v>
      </c>
      <c r="B159">
        <v>-2.4500000000000002</v>
      </c>
      <c r="C159">
        <v>-2.4500000000000002</v>
      </c>
      <c r="D159">
        <v>-2.4500000000000002</v>
      </c>
      <c r="E159">
        <v>-2.4500000000000002</v>
      </c>
      <c r="F159">
        <v>-2.4500000000000002</v>
      </c>
      <c r="G159">
        <v>-2.4500000000000002</v>
      </c>
      <c r="H159">
        <v>-2.4500000000000002</v>
      </c>
      <c r="I159">
        <v>-2.4500000000000002</v>
      </c>
      <c r="J159">
        <v>-2.4500000000000002</v>
      </c>
      <c r="K159">
        <v>-2.4500000000000002</v>
      </c>
    </row>
    <row r="160" spans="1:13" x14ac:dyDescent="0.3">
      <c r="A160">
        <v>100</v>
      </c>
      <c r="B160">
        <v>100</v>
      </c>
      <c r="C160">
        <v>100</v>
      </c>
      <c r="D160">
        <v>100</v>
      </c>
      <c r="E160">
        <v>100</v>
      </c>
      <c r="F160">
        <v>100</v>
      </c>
      <c r="G160">
        <v>100</v>
      </c>
      <c r="H160">
        <v>100</v>
      </c>
      <c r="I160">
        <v>100</v>
      </c>
      <c r="J160">
        <v>100</v>
      </c>
      <c r="K160">
        <v>100</v>
      </c>
    </row>
    <row r="161" spans="1:13" x14ac:dyDescent="0.3">
      <c r="A161">
        <v>100.71</v>
      </c>
      <c r="B161">
        <v>100.71</v>
      </c>
      <c r="C161">
        <v>100.71</v>
      </c>
      <c r="D161">
        <v>100.71</v>
      </c>
      <c r="E161">
        <v>100.71</v>
      </c>
      <c r="F161">
        <v>100.71</v>
      </c>
      <c r="G161">
        <v>100.71</v>
      </c>
      <c r="H161">
        <v>100.71</v>
      </c>
      <c r="I161">
        <v>100.71</v>
      </c>
      <c r="J161">
        <v>100.71</v>
      </c>
      <c r="K161">
        <v>100.71</v>
      </c>
    </row>
    <row r="162" spans="1:13" x14ac:dyDescent="0.3">
      <c r="A162">
        <v>100.9</v>
      </c>
      <c r="B162">
        <v>100.9</v>
      </c>
      <c r="C162">
        <v>100.9</v>
      </c>
      <c r="D162">
        <v>100.9</v>
      </c>
      <c r="E162">
        <v>100.9</v>
      </c>
      <c r="F162">
        <v>100.9</v>
      </c>
      <c r="G162">
        <v>100.9</v>
      </c>
      <c r="H162">
        <v>100.9</v>
      </c>
      <c r="I162">
        <v>100.9</v>
      </c>
      <c r="J162">
        <v>100.9</v>
      </c>
      <c r="K162">
        <v>100.9</v>
      </c>
    </row>
    <row r="163" spans="1:13" x14ac:dyDescent="0.3">
      <c r="A163">
        <v>100</v>
      </c>
      <c r="B163">
        <v>100</v>
      </c>
      <c r="C163">
        <v>100</v>
      </c>
      <c r="D163">
        <v>100</v>
      </c>
      <c r="E163">
        <v>100</v>
      </c>
      <c r="F163">
        <v>100</v>
      </c>
      <c r="G163">
        <v>100</v>
      </c>
      <c r="H163">
        <v>100</v>
      </c>
      <c r="I163">
        <v>100</v>
      </c>
      <c r="J163">
        <v>100</v>
      </c>
      <c r="K163">
        <v>100</v>
      </c>
    </row>
    <row r="164" spans="1:13" x14ac:dyDescent="0.3">
      <c r="A164" t="s">
        <v>32</v>
      </c>
      <c r="B164" t="s">
        <v>32</v>
      </c>
      <c r="C164" t="s">
        <v>32</v>
      </c>
      <c r="D164" t="s">
        <v>32</v>
      </c>
      <c r="E164" t="s">
        <v>32</v>
      </c>
      <c r="F164" t="s">
        <v>32</v>
      </c>
      <c r="G164" t="s">
        <v>32</v>
      </c>
      <c r="H164" t="s">
        <v>32</v>
      </c>
      <c r="I164" t="s">
        <v>32</v>
      </c>
      <c r="J164" t="s">
        <v>32</v>
      </c>
      <c r="K164" t="s">
        <v>32</v>
      </c>
    </row>
    <row r="165" spans="1:13" x14ac:dyDescent="0.3">
      <c r="A165">
        <v>6342941</v>
      </c>
      <c r="B165">
        <v>6342941</v>
      </c>
      <c r="C165">
        <v>6342941</v>
      </c>
      <c r="D165">
        <v>6342941</v>
      </c>
      <c r="E165">
        <v>6342941</v>
      </c>
      <c r="F165">
        <v>6342941</v>
      </c>
      <c r="G165">
        <v>6342941</v>
      </c>
      <c r="H165">
        <v>6342941</v>
      </c>
      <c r="I165">
        <v>6342941</v>
      </c>
      <c r="J165">
        <v>6342941</v>
      </c>
      <c r="K165">
        <v>6342941</v>
      </c>
    </row>
    <row r="166" spans="1:13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3" x14ac:dyDescent="0.3">
      <c r="A167" t="s">
        <v>19</v>
      </c>
      <c r="B167" t="s">
        <v>19</v>
      </c>
      <c r="C167" t="s">
        <v>19</v>
      </c>
      <c r="D167" t="s">
        <v>19</v>
      </c>
      <c r="E167" t="s">
        <v>19</v>
      </c>
      <c r="F167" t="s">
        <v>19</v>
      </c>
      <c r="G167" t="s">
        <v>19</v>
      </c>
      <c r="H167" t="s">
        <v>19</v>
      </c>
      <c r="I167" t="s">
        <v>19</v>
      </c>
      <c r="J167" t="s">
        <v>19</v>
      </c>
      <c r="K167" t="s">
        <v>19</v>
      </c>
    </row>
    <row r="168" spans="1:13" x14ac:dyDescent="0.3">
      <c r="A168" t="s">
        <v>20</v>
      </c>
      <c r="B168" t="s">
        <v>20</v>
      </c>
      <c r="C168" t="s">
        <v>20</v>
      </c>
      <c r="D168" t="s">
        <v>20</v>
      </c>
      <c r="E168" t="s">
        <v>20</v>
      </c>
      <c r="F168" t="s">
        <v>20</v>
      </c>
      <c r="G168" t="s">
        <v>20</v>
      </c>
      <c r="H168" t="s">
        <v>20</v>
      </c>
      <c r="I168" t="s">
        <v>20</v>
      </c>
      <c r="J168" t="s">
        <v>20</v>
      </c>
      <c r="K168" t="s">
        <v>20</v>
      </c>
    </row>
    <row r="169" spans="1:13" x14ac:dyDescent="0.3">
      <c r="A169" t="s">
        <v>15</v>
      </c>
      <c r="B169" t="s">
        <v>15</v>
      </c>
      <c r="C169" t="s">
        <v>15</v>
      </c>
      <c r="D169" t="s">
        <v>15</v>
      </c>
      <c r="E169" t="s">
        <v>15</v>
      </c>
      <c r="F169" t="s">
        <v>15</v>
      </c>
      <c r="G169" t="s">
        <v>15</v>
      </c>
      <c r="H169" t="s">
        <v>15</v>
      </c>
      <c r="I169" t="s">
        <v>15</v>
      </c>
      <c r="J169" t="s">
        <v>15</v>
      </c>
      <c r="K169" t="s">
        <v>15</v>
      </c>
      <c r="L169" t="s">
        <v>16</v>
      </c>
      <c r="M169" t="s">
        <v>17</v>
      </c>
    </row>
    <row r="170" spans="1:13" x14ac:dyDescent="0.3">
      <c r="A170">
        <v>552.80999999999995</v>
      </c>
      <c r="B170">
        <v>552.80999999999995</v>
      </c>
      <c r="C170">
        <v>552.80999999999995</v>
      </c>
      <c r="D170">
        <v>552.80999999999995</v>
      </c>
      <c r="E170">
        <v>552.80999999999995</v>
      </c>
      <c r="F170">
        <v>552.80999999999995</v>
      </c>
      <c r="G170">
        <v>552.80999999999995</v>
      </c>
      <c r="H170">
        <v>552.80999999999995</v>
      </c>
      <c r="I170">
        <v>552.80999999999995</v>
      </c>
      <c r="J170">
        <v>552.80999999999995</v>
      </c>
      <c r="K170">
        <v>552.80999999999995</v>
      </c>
    </row>
    <row r="171" spans="1:13" x14ac:dyDescent="0.3">
      <c r="A171">
        <v>-0.47</v>
      </c>
      <c r="B171">
        <v>-0.47</v>
      </c>
      <c r="C171">
        <v>-0.47</v>
      </c>
      <c r="D171">
        <v>-0.47</v>
      </c>
      <c r="E171">
        <v>-0.47</v>
      </c>
      <c r="F171">
        <v>-0.47</v>
      </c>
      <c r="G171">
        <v>-0.47</v>
      </c>
      <c r="H171">
        <v>-0.47</v>
      </c>
      <c r="I171">
        <v>-0.47</v>
      </c>
      <c r="J171">
        <v>-0.47</v>
      </c>
      <c r="K171">
        <v>-0.47</v>
      </c>
    </row>
    <row r="172" spans="1:13" x14ac:dyDescent="0.3">
      <c r="A172">
        <v>100</v>
      </c>
      <c r="B172">
        <v>100</v>
      </c>
      <c r="C172">
        <v>100</v>
      </c>
      <c r="D172">
        <v>100</v>
      </c>
      <c r="E172">
        <v>100</v>
      </c>
      <c r="F172">
        <v>100</v>
      </c>
      <c r="G172">
        <v>100</v>
      </c>
      <c r="H172">
        <v>100</v>
      </c>
      <c r="I172">
        <v>100</v>
      </c>
      <c r="J172">
        <v>100</v>
      </c>
      <c r="K172">
        <v>100</v>
      </c>
    </row>
    <row r="173" spans="1:13" x14ac:dyDescent="0.3">
      <c r="A173">
        <v>552.54</v>
      </c>
      <c r="B173">
        <v>552.54</v>
      </c>
      <c r="C173">
        <v>552.54</v>
      </c>
      <c r="D173">
        <v>552.54</v>
      </c>
      <c r="E173">
        <v>552.54</v>
      </c>
      <c r="F173">
        <v>552.54</v>
      </c>
      <c r="G173">
        <v>552.54</v>
      </c>
      <c r="H173">
        <v>552.54</v>
      </c>
      <c r="I173">
        <v>552.54</v>
      </c>
      <c r="J173">
        <v>552.54</v>
      </c>
      <c r="K173">
        <v>552.54</v>
      </c>
    </row>
    <row r="174" spans="1:13" x14ac:dyDescent="0.3">
      <c r="A174">
        <v>553.71</v>
      </c>
      <c r="B174">
        <v>553.71</v>
      </c>
      <c r="C174">
        <v>553.71</v>
      </c>
      <c r="D174">
        <v>553.71</v>
      </c>
      <c r="E174">
        <v>553.71</v>
      </c>
      <c r="F174">
        <v>553.71</v>
      </c>
      <c r="G174">
        <v>553.71</v>
      </c>
      <c r="H174">
        <v>553.71</v>
      </c>
      <c r="I174">
        <v>553.71</v>
      </c>
      <c r="J174">
        <v>553.71</v>
      </c>
      <c r="K174">
        <v>553.71</v>
      </c>
    </row>
    <row r="175" spans="1:13" x14ac:dyDescent="0.3">
      <c r="A175">
        <v>300</v>
      </c>
      <c r="B175">
        <v>300</v>
      </c>
      <c r="C175">
        <v>300</v>
      </c>
      <c r="D175">
        <v>300</v>
      </c>
      <c r="E175">
        <v>300</v>
      </c>
      <c r="F175">
        <v>300</v>
      </c>
      <c r="G175">
        <v>300</v>
      </c>
      <c r="H175">
        <v>300</v>
      </c>
      <c r="I175">
        <v>300</v>
      </c>
      <c r="J175">
        <v>300</v>
      </c>
      <c r="K175">
        <v>300</v>
      </c>
    </row>
    <row r="176" spans="1:13" x14ac:dyDescent="0.3">
      <c r="A176" t="s">
        <v>31</v>
      </c>
      <c r="B176" t="s">
        <v>31</v>
      </c>
      <c r="C176" t="s">
        <v>31</v>
      </c>
      <c r="D176" t="s">
        <v>31</v>
      </c>
      <c r="E176" t="s">
        <v>31</v>
      </c>
      <c r="F176" t="s">
        <v>31</v>
      </c>
      <c r="G176" t="s">
        <v>31</v>
      </c>
      <c r="H176" t="s">
        <v>31</v>
      </c>
      <c r="I176" t="s">
        <v>31</v>
      </c>
      <c r="J176" t="s">
        <v>31</v>
      </c>
      <c r="K176" t="s">
        <v>31</v>
      </c>
    </row>
    <row r="177" spans="1:13" x14ac:dyDescent="0.3">
      <c r="A177">
        <v>460919</v>
      </c>
      <c r="B177">
        <v>460919</v>
      </c>
      <c r="C177">
        <v>460919</v>
      </c>
      <c r="D177">
        <v>460919</v>
      </c>
      <c r="E177">
        <v>460919</v>
      </c>
      <c r="F177">
        <v>460919</v>
      </c>
      <c r="G177">
        <v>460919</v>
      </c>
      <c r="H177">
        <v>460919</v>
      </c>
      <c r="I177">
        <v>460919</v>
      </c>
      <c r="J177">
        <v>460919</v>
      </c>
      <c r="K177">
        <v>460919</v>
      </c>
    </row>
    <row r="178" spans="1:13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1:13" x14ac:dyDescent="0.3">
      <c r="A179" t="s">
        <v>19</v>
      </c>
      <c r="B179" t="s">
        <v>19</v>
      </c>
      <c r="C179" t="s">
        <v>19</v>
      </c>
      <c r="D179" t="s">
        <v>19</v>
      </c>
      <c r="E179" t="s">
        <v>19</v>
      </c>
      <c r="F179" t="s">
        <v>19</v>
      </c>
      <c r="G179" t="s">
        <v>19</v>
      </c>
      <c r="H179" t="s">
        <v>19</v>
      </c>
      <c r="I179" t="s">
        <v>19</v>
      </c>
      <c r="J179" t="s">
        <v>19</v>
      </c>
      <c r="K179" t="s">
        <v>19</v>
      </c>
    </row>
    <row r="180" spans="1:13" x14ac:dyDescent="0.3">
      <c r="A180" t="s">
        <v>20</v>
      </c>
      <c r="B180" t="s">
        <v>20</v>
      </c>
      <c r="C180" t="s">
        <v>20</v>
      </c>
      <c r="D180" t="s">
        <v>20</v>
      </c>
      <c r="E180" t="s">
        <v>20</v>
      </c>
      <c r="F180" t="s">
        <v>20</v>
      </c>
      <c r="G180" t="s">
        <v>20</v>
      </c>
      <c r="H180" t="s">
        <v>20</v>
      </c>
      <c r="I180" t="s">
        <v>20</v>
      </c>
      <c r="J180" t="s">
        <v>20</v>
      </c>
      <c r="K180" t="s">
        <v>20</v>
      </c>
    </row>
    <row r="181" spans="1:13" x14ac:dyDescent="0.3">
      <c r="A181" t="s">
        <v>15</v>
      </c>
      <c r="B181" t="s">
        <v>15</v>
      </c>
      <c r="C181" t="s">
        <v>15</v>
      </c>
      <c r="D181" t="s">
        <v>15</v>
      </c>
      <c r="E181" t="s">
        <v>15</v>
      </c>
      <c r="F181" t="s">
        <v>15</v>
      </c>
      <c r="G181" t="s">
        <v>15</v>
      </c>
      <c r="H181" t="s">
        <v>15</v>
      </c>
      <c r="I181" t="s">
        <v>15</v>
      </c>
      <c r="J181" t="s">
        <v>15</v>
      </c>
      <c r="K181" t="s">
        <v>15</v>
      </c>
      <c r="L181" t="s">
        <v>16</v>
      </c>
      <c r="M181" t="s">
        <v>17</v>
      </c>
    </row>
    <row r="182" spans="1:13" x14ac:dyDescent="0.3">
      <c r="A182">
        <v>243.8</v>
      </c>
      <c r="B182">
        <v>243.8</v>
      </c>
      <c r="C182">
        <v>243.8</v>
      </c>
      <c r="D182">
        <v>243.8</v>
      </c>
      <c r="E182">
        <v>243.8</v>
      </c>
      <c r="F182">
        <v>243.8</v>
      </c>
      <c r="G182">
        <v>243.8</v>
      </c>
      <c r="H182">
        <v>243.8</v>
      </c>
      <c r="I182">
        <v>243.8</v>
      </c>
      <c r="J182">
        <v>243.8</v>
      </c>
      <c r="K182">
        <v>243.8</v>
      </c>
    </row>
    <row r="183" spans="1:13" x14ac:dyDescent="0.3">
      <c r="A183">
        <v>1.1599999999999999</v>
      </c>
      <c r="B183">
        <v>1.1599999999999999</v>
      </c>
      <c r="C183">
        <v>1.1599999999999999</v>
      </c>
      <c r="D183">
        <v>1.1599999999999999</v>
      </c>
      <c r="E183">
        <v>1.1599999999999999</v>
      </c>
      <c r="F183">
        <v>1.1599999999999999</v>
      </c>
      <c r="G183">
        <v>1.1599999999999999</v>
      </c>
      <c r="H183">
        <v>1.1599999999999999</v>
      </c>
      <c r="I183">
        <v>1.1599999999999999</v>
      </c>
      <c r="J183">
        <v>1.1599999999999999</v>
      </c>
      <c r="K183">
        <v>1.1599999999999999</v>
      </c>
    </row>
    <row r="184" spans="1:13" x14ac:dyDescent="0.3">
      <c r="A184">
        <v>200</v>
      </c>
      <c r="B184">
        <v>200</v>
      </c>
      <c r="C184">
        <v>200</v>
      </c>
      <c r="D184">
        <v>200</v>
      </c>
      <c r="E184">
        <v>200</v>
      </c>
      <c r="F184">
        <v>200</v>
      </c>
      <c r="G184">
        <v>200</v>
      </c>
      <c r="H184">
        <v>200</v>
      </c>
      <c r="I184">
        <v>200</v>
      </c>
      <c r="J184">
        <v>200</v>
      </c>
      <c r="K184">
        <v>200</v>
      </c>
    </row>
    <row r="185" spans="1:13" x14ac:dyDescent="0.3">
      <c r="A185">
        <v>240.01</v>
      </c>
      <c r="B185">
        <v>240.01</v>
      </c>
      <c r="C185">
        <v>240.01</v>
      </c>
      <c r="D185">
        <v>240.01</v>
      </c>
      <c r="E185">
        <v>240.01</v>
      </c>
      <c r="F185">
        <v>240.01</v>
      </c>
      <c r="G185">
        <v>240.01</v>
      </c>
      <c r="H185">
        <v>240.01</v>
      </c>
      <c r="I185">
        <v>240.01</v>
      </c>
      <c r="J185">
        <v>240.01</v>
      </c>
      <c r="K185">
        <v>240.01</v>
      </c>
    </row>
    <row r="186" spans="1:13" x14ac:dyDescent="0.3">
      <c r="A186">
        <v>249.87</v>
      </c>
      <c r="B186">
        <v>249.87</v>
      </c>
      <c r="C186">
        <v>249.87</v>
      </c>
      <c r="D186">
        <v>249.87</v>
      </c>
      <c r="E186">
        <v>249.87</v>
      </c>
      <c r="F186">
        <v>249.87</v>
      </c>
      <c r="G186">
        <v>249.87</v>
      </c>
      <c r="H186">
        <v>249.87</v>
      </c>
      <c r="I186">
        <v>249.87</v>
      </c>
      <c r="J186">
        <v>249.87</v>
      </c>
      <c r="K186">
        <v>249.87</v>
      </c>
    </row>
    <row r="187" spans="1:13" x14ac:dyDescent="0.3">
      <c r="A187">
        <v>200</v>
      </c>
      <c r="B187">
        <v>200</v>
      </c>
      <c r="C187">
        <v>200</v>
      </c>
      <c r="D187">
        <v>200</v>
      </c>
      <c r="E187">
        <v>200</v>
      </c>
      <c r="F187">
        <v>200</v>
      </c>
      <c r="G187">
        <v>200</v>
      </c>
      <c r="H187">
        <v>200</v>
      </c>
      <c r="I187">
        <v>200</v>
      </c>
      <c r="J187">
        <v>200</v>
      </c>
      <c r="K187">
        <v>200</v>
      </c>
    </row>
    <row r="188" spans="1:13" x14ac:dyDescent="0.3">
      <c r="A188" t="s">
        <v>33</v>
      </c>
      <c r="B188" t="s">
        <v>33</v>
      </c>
      <c r="C188" t="s">
        <v>33</v>
      </c>
      <c r="D188" t="s">
        <v>33</v>
      </c>
      <c r="E188" t="s">
        <v>33</v>
      </c>
      <c r="F188" t="s">
        <v>33</v>
      </c>
      <c r="G188" t="s">
        <v>33</v>
      </c>
      <c r="H188" t="s">
        <v>33</v>
      </c>
      <c r="I188" t="s">
        <v>33</v>
      </c>
      <c r="J188" t="s">
        <v>33</v>
      </c>
      <c r="K188" t="s">
        <v>33</v>
      </c>
    </row>
    <row r="189" spans="1:13" x14ac:dyDescent="0.3">
      <c r="A189">
        <v>956491</v>
      </c>
      <c r="B189">
        <v>956491</v>
      </c>
      <c r="C189">
        <v>956491</v>
      </c>
      <c r="D189">
        <v>956491</v>
      </c>
      <c r="E189">
        <v>956491</v>
      </c>
      <c r="F189">
        <v>956491</v>
      </c>
      <c r="G189">
        <v>956491</v>
      </c>
      <c r="H189">
        <v>956491</v>
      </c>
      <c r="I189">
        <v>956491</v>
      </c>
      <c r="J189">
        <v>956491</v>
      </c>
      <c r="K189">
        <v>956491</v>
      </c>
    </row>
    <row r="190" spans="1:13" x14ac:dyDescent="0.3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3" x14ac:dyDescent="0.3">
      <c r="A191" t="s">
        <v>19</v>
      </c>
      <c r="B191" t="s">
        <v>19</v>
      </c>
      <c r="C191" t="s">
        <v>19</v>
      </c>
      <c r="D191" t="s">
        <v>19</v>
      </c>
      <c r="E191" t="s">
        <v>19</v>
      </c>
      <c r="F191" t="s">
        <v>19</v>
      </c>
      <c r="G191" t="s">
        <v>19</v>
      </c>
      <c r="H191" t="s">
        <v>19</v>
      </c>
      <c r="I191" t="s">
        <v>19</v>
      </c>
      <c r="J191" t="s">
        <v>19</v>
      </c>
      <c r="K191" t="s">
        <v>19</v>
      </c>
    </row>
    <row r="192" spans="1:13" x14ac:dyDescent="0.3">
      <c r="A192" t="s">
        <v>20</v>
      </c>
      <c r="B192" t="s">
        <v>20</v>
      </c>
      <c r="C192" t="s">
        <v>20</v>
      </c>
      <c r="D192" t="s">
        <v>20</v>
      </c>
      <c r="E192" t="s">
        <v>20</v>
      </c>
      <c r="F192" t="s">
        <v>20</v>
      </c>
      <c r="G192" t="s">
        <v>20</v>
      </c>
      <c r="H192" t="s">
        <v>20</v>
      </c>
      <c r="I192" t="s">
        <v>20</v>
      </c>
      <c r="J192" t="s">
        <v>20</v>
      </c>
      <c r="K192" t="s">
        <v>20</v>
      </c>
    </row>
    <row r="193" spans="1:13" x14ac:dyDescent="0.3">
      <c r="A193" t="s">
        <v>15</v>
      </c>
      <c r="B193" t="s">
        <v>15</v>
      </c>
      <c r="C193" t="s">
        <v>15</v>
      </c>
      <c r="D193" t="s">
        <v>15</v>
      </c>
      <c r="E193" t="s">
        <v>15</v>
      </c>
      <c r="F193" t="s">
        <v>15</v>
      </c>
      <c r="G193" t="s">
        <v>15</v>
      </c>
      <c r="H193" t="s">
        <v>15</v>
      </c>
      <c r="I193" t="s">
        <v>15</v>
      </c>
      <c r="J193" t="s">
        <v>15</v>
      </c>
      <c r="K193" t="s">
        <v>15</v>
      </c>
      <c r="L193" t="s">
        <v>16</v>
      </c>
      <c r="M193" t="s">
        <v>17</v>
      </c>
    </row>
    <row r="194" spans="1:13" x14ac:dyDescent="0.3">
      <c r="A194">
        <v>305.86</v>
      </c>
      <c r="B194">
        <v>305.86</v>
      </c>
      <c r="C194">
        <v>305.86</v>
      </c>
      <c r="D194">
        <v>305.86</v>
      </c>
      <c r="E194">
        <v>305.86</v>
      </c>
      <c r="F194">
        <v>305.86</v>
      </c>
      <c r="G194">
        <v>305.86</v>
      </c>
      <c r="H194">
        <v>305.86</v>
      </c>
      <c r="I194">
        <v>305.86</v>
      </c>
      <c r="J194">
        <v>305.86</v>
      </c>
      <c r="K194">
        <v>305.86</v>
      </c>
    </row>
    <row r="195" spans="1:13" x14ac:dyDescent="0.3">
      <c r="A195">
        <v>1.79</v>
      </c>
      <c r="B195">
        <v>1.79</v>
      </c>
      <c r="C195">
        <v>1.79</v>
      </c>
      <c r="D195">
        <v>1.79</v>
      </c>
      <c r="E195">
        <v>1.79</v>
      </c>
      <c r="F195">
        <v>1.79</v>
      </c>
      <c r="G195">
        <v>1.79</v>
      </c>
      <c r="H195">
        <v>1.79</v>
      </c>
      <c r="I195">
        <v>1.79</v>
      </c>
      <c r="J195">
        <v>1.79</v>
      </c>
      <c r="K195">
        <v>1.79</v>
      </c>
    </row>
    <row r="196" spans="1:13" x14ac:dyDescent="0.3">
      <c r="A196">
        <v>100</v>
      </c>
      <c r="B196">
        <v>100</v>
      </c>
      <c r="C196">
        <v>100</v>
      </c>
      <c r="D196">
        <v>100</v>
      </c>
      <c r="E196">
        <v>100</v>
      </c>
      <c r="F196">
        <v>100</v>
      </c>
      <c r="G196">
        <v>100</v>
      </c>
      <c r="H196">
        <v>100</v>
      </c>
      <c r="I196">
        <v>100</v>
      </c>
      <c r="J196">
        <v>100</v>
      </c>
      <c r="K196">
        <v>100</v>
      </c>
    </row>
    <row r="197" spans="1:13" x14ac:dyDescent="0.3">
      <c r="A197">
        <v>305</v>
      </c>
      <c r="B197">
        <v>305</v>
      </c>
      <c r="C197">
        <v>305</v>
      </c>
      <c r="D197">
        <v>305</v>
      </c>
      <c r="E197">
        <v>305</v>
      </c>
      <c r="F197">
        <v>305</v>
      </c>
      <c r="G197">
        <v>305</v>
      </c>
      <c r="H197">
        <v>305</v>
      </c>
      <c r="I197">
        <v>305</v>
      </c>
      <c r="J197">
        <v>305</v>
      </c>
      <c r="K197">
        <v>305</v>
      </c>
    </row>
    <row r="198" spans="1:13" x14ac:dyDescent="0.3">
      <c r="A198">
        <v>308.32</v>
      </c>
      <c r="B198">
        <v>308.32</v>
      </c>
      <c r="C198">
        <v>308.32</v>
      </c>
      <c r="D198">
        <v>308.32</v>
      </c>
      <c r="E198">
        <v>308.32</v>
      </c>
      <c r="F198">
        <v>308.32</v>
      </c>
      <c r="G198">
        <v>308.32</v>
      </c>
      <c r="H198">
        <v>308.32</v>
      </c>
      <c r="I198">
        <v>308.32</v>
      </c>
      <c r="J198">
        <v>308.32</v>
      </c>
      <c r="K198">
        <v>308.32</v>
      </c>
    </row>
    <row r="199" spans="1:13" x14ac:dyDescent="0.3">
      <c r="A199">
        <v>100</v>
      </c>
      <c r="B199">
        <v>100</v>
      </c>
      <c r="C199">
        <v>100</v>
      </c>
      <c r="D199">
        <v>100</v>
      </c>
      <c r="E199">
        <v>100</v>
      </c>
      <c r="F199">
        <v>100</v>
      </c>
      <c r="G199">
        <v>100</v>
      </c>
      <c r="H199">
        <v>100</v>
      </c>
      <c r="I199">
        <v>100</v>
      </c>
      <c r="J199">
        <v>100</v>
      </c>
      <c r="K199">
        <v>100</v>
      </c>
    </row>
    <row r="200" spans="1:13" x14ac:dyDescent="0.3">
      <c r="A200" t="s">
        <v>34</v>
      </c>
      <c r="B200" t="s">
        <v>34</v>
      </c>
      <c r="C200" t="s">
        <v>34</v>
      </c>
      <c r="D200" t="s">
        <v>34</v>
      </c>
      <c r="E200" t="s">
        <v>34</v>
      </c>
      <c r="F200" t="s">
        <v>34</v>
      </c>
      <c r="G200" t="s">
        <v>34</v>
      </c>
      <c r="H200" t="s">
        <v>34</v>
      </c>
      <c r="I200" t="s">
        <v>34</v>
      </c>
      <c r="J200" t="s">
        <v>34</v>
      </c>
      <c r="K200" t="s">
        <v>34</v>
      </c>
    </row>
    <row r="201" spans="1:13" x14ac:dyDescent="0.3">
      <c r="A201">
        <v>1085124</v>
      </c>
      <c r="B201">
        <v>1085124</v>
      </c>
      <c r="C201">
        <v>1085124</v>
      </c>
      <c r="D201">
        <v>1085124</v>
      </c>
      <c r="E201">
        <v>1085124</v>
      </c>
      <c r="F201">
        <v>1085124</v>
      </c>
      <c r="G201">
        <v>1085124</v>
      </c>
      <c r="H201">
        <v>1085124</v>
      </c>
      <c r="I201">
        <v>1085124</v>
      </c>
      <c r="J201">
        <v>1085124</v>
      </c>
      <c r="K201">
        <v>1085124</v>
      </c>
    </row>
    <row r="202" spans="1:13" x14ac:dyDescent="0.3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1:13" x14ac:dyDescent="0.3">
      <c r="A203" t="s">
        <v>19</v>
      </c>
      <c r="B203" t="s">
        <v>19</v>
      </c>
      <c r="C203" t="s">
        <v>19</v>
      </c>
      <c r="D203" t="s">
        <v>19</v>
      </c>
      <c r="E203" t="s">
        <v>19</v>
      </c>
      <c r="F203" t="s">
        <v>19</v>
      </c>
      <c r="G203" t="s">
        <v>19</v>
      </c>
      <c r="H203" t="s">
        <v>19</v>
      </c>
      <c r="I203" t="s">
        <v>19</v>
      </c>
      <c r="J203" t="s">
        <v>19</v>
      </c>
      <c r="K203" t="s">
        <v>19</v>
      </c>
    </row>
    <row r="204" spans="1:13" x14ac:dyDescent="0.3">
      <c r="A204" t="s">
        <v>20</v>
      </c>
      <c r="B204" t="s">
        <v>20</v>
      </c>
      <c r="C204" t="s">
        <v>20</v>
      </c>
      <c r="D204" t="s">
        <v>20</v>
      </c>
      <c r="E204" t="s">
        <v>20</v>
      </c>
      <c r="F204" t="s">
        <v>20</v>
      </c>
      <c r="G204" t="s">
        <v>20</v>
      </c>
      <c r="H204" t="s">
        <v>20</v>
      </c>
      <c r="I204" t="s">
        <v>20</v>
      </c>
      <c r="J204" t="s">
        <v>20</v>
      </c>
      <c r="K204" t="s">
        <v>20</v>
      </c>
    </row>
    <row r="205" spans="1:13" x14ac:dyDescent="0.3">
      <c r="A205" t="s">
        <v>15</v>
      </c>
      <c r="B205" t="s">
        <v>15</v>
      </c>
      <c r="C205" t="s">
        <v>15</v>
      </c>
      <c r="D205" t="s">
        <v>15</v>
      </c>
      <c r="E205" t="s">
        <v>15</v>
      </c>
      <c r="F205" t="s">
        <v>15</v>
      </c>
      <c r="G205" t="s">
        <v>15</v>
      </c>
      <c r="H205" t="s">
        <v>15</v>
      </c>
      <c r="I205" t="s">
        <v>15</v>
      </c>
      <c r="J205" t="s">
        <v>15</v>
      </c>
      <c r="K205" t="s">
        <v>15</v>
      </c>
      <c r="L205" t="s">
        <v>16</v>
      </c>
      <c r="M205" t="s">
        <v>17</v>
      </c>
    </row>
    <row r="206" spans="1:13" x14ac:dyDescent="0.3">
      <c r="A206">
        <v>167.28</v>
      </c>
      <c r="B206">
        <v>167.28</v>
      </c>
      <c r="C206">
        <v>167.28</v>
      </c>
      <c r="D206">
        <v>167.28</v>
      </c>
      <c r="E206">
        <v>167.28</v>
      </c>
      <c r="F206">
        <v>167.28</v>
      </c>
      <c r="G206">
        <v>167.28</v>
      </c>
      <c r="H206">
        <v>167.28</v>
      </c>
      <c r="I206">
        <v>167.28</v>
      </c>
      <c r="J206">
        <v>167.28</v>
      </c>
      <c r="K206">
        <v>167.28</v>
      </c>
    </row>
    <row r="207" spans="1:13" x14ac:dyDescent="0.3">
      <c r="A207">
        <v>-1.92</v>
      </c>
      <c r="B207">
        <v>-1.92</v>
      </c>
      <c r="C207">
        <v>-1.92</v>
      </c>
      <c r="D207">
        <v>-1.92</v>
      </c>
      <c r="E207">
        <v>-1.92</v>
      </c>
      <c r="F207">
        <v>-1.92</v>
      </c>
      <c r="G207">
        <v>-1.92</v>
      </c>
      <c r="H207">
        <v>-1.92</v>
      </c>
      <c r="I207">
        <v>-1.92</v>
      </c>
      <c r="J207">
        <v>-1.92</v>
      </c>
      <c r="K207">
        <v>-1.92</v>
      </c>
    </row>
    <row r="208" spans="1:13" x14ac:dyDescent="0.3">
      <c r="A208">
        <v>100</v>
      </c>
      <c r="B208">
        <v>100</v>
      </c>
      <c r="C208">
        <v>100</v>
      </c>
      <c r="D208">
        <v>100</v>
      </c>
      <c r="E208">
        <v>100</v>
      </c>
      <c r="F208">
        <v>100</v>
      </c>
      <c r="G208">
        <v>100</v>
      </c>
      <c r="H208">
        <v>100</v>
      </c>
      <c r="I208">
        <v>100</v>
      </c>
      <c r="J208">
        <v>100</v>
      </c>
      <c r="K208">
        <v>100</v>
      </c>
    </row>
    <row r="209" spans="1:13" x14ac:dyDescent="0.3">
      <c r="A209">
        <v>167</v>
      </c>
      <c r="B209">
        <v>167</v>
      </c>
      <c r="C209">
        <v>167</v>
      </c>
      <c r="D209">
        <v>167</v>
      </c>
      <c r="E209">
        <v>167</v>
      </c>
      <c r="F209">
        <v>167</v>
      </c>
      <c r="G209">
        <v>167</v>
      </c>
      <c r="H209">
        <v>167</v>
      </c>
      <c r="I209">
        <v>167</v>
      </c>
      <c r="J209">
        <v>167</v>
      </c>
      <c r="K209">
        <v>167</v>
      </c>
    </row>
    <row r="210" spans="1:13" x14ac:dyDescent="0.3">
      <c r="A210">
        <v>169.38</v>
      </c>
      <c r="B210">
        <v>169.38</v>
      </c>
      <c r="C210">
        <v>169.38</v>
      </c>
      <c r="D210">
        <v>169.38</v>
      </c>
      <c r="E210">
        <v>169.38</v>
      </c>
      <c r="F210">
        <v>169.38</v>
      </c>
      <c r="G210">
        <v>169.38</v>
      </c>
      <c r="H210">
        <v>169.38</v>
      </c>
      <c r="I210">
        <v>169.38</v>
      </c>
      <c r="J210">
        <v>169.38</v>
      </c>
      <c r="K210">
        <v>169.38</v>
      </c>
    </row>
    <row r="211" spans="1:13" x14ac:dyDescent="0.3">
      <c r="A211">
        <v>100</v>
      </c>
      <c r="B211">
        <v>100</v>
      </c>
      <c r="C211">
        <v>100</v>
      </c>
      <c r="D211">
        <v>100</v>
      </c>
      <c r="E211">
        <v>100</v>
      </c>
      <c r="F211">
        <v>100</v>
      </c>
      <c r="G211">
        <v>100</v>
      </c>
      <c r="H211">
        <v>100</v>
      </c>
      <c r="I211">
        <v>100</v>
      </c>
      <c r="J211">
        <v>100</v>
      </c>
      <c r="K211">
        <v>100</v>
      </c>
    </row>
    <row r="212" spans="1:13" x14ac:dyDescent="0.3">
      <c r="A212" t="s">
        <v>35</v>
      </c>
      <c r="B212" t="s">
        <v>35</v>
      </c>
      <c r="C212" t="s">
        <v>35</v>
      </c>
      <c r="D212" t="s">
        <v>35</v>
      </c>
      <c r="E212" t="s">
        <v>35</v>
      </c>
      <c r="F212" t="s">
        <v>35</v>
      </c>
      <c r="G212" t="s">
        <v>35</v>
      </c>
      <c r="H212" t="s">
        <v>35</v>
      </c>
      <c r="I212" t="s">
        <v>35</v>
      </c>
      <c r="J212" t="s">
        <v>35</v>
      </c>
      <c r="K212" t="s">
        <v>35</v>
      </c>
    </row>
    <row r="213" spans="1:13" x14ac:dyDescent="0.3">
      <c r="A213">
        <v>1534840</v>
      </c>
      <c r="B213">
        <v>1534840</v>
      </c>
      <c r="C213">
        <v>1534840</v>
      </c>
      <c r="D213">
        <v>1534840</v>
      </c>
      <c r="E213">
        <v>1534840</v>
      </c>
      <c r="F213">
        <v>1534840</v>
      </c>
      <c r="G213">
        <v>1534840</v>
      </c>
      <c r="H213">
        <v>1534840</v>
      </c>
      <c r="I213">
        <v>1534840</v>
      </c>
      <c r="J213">
        <v>1534840</v>
      </c>
      <c r="K213">
        <v>1534840</v>
      </c>
    </row>
    <row r="214" spans="1:13" x14ac:dyDescent="0.3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1:13" x14ac:dyDescent="0.3">
      <c r="A215" t="s">
        <v>19</v>
      </c>
      <c r="B215" t="s">
        <v>19</v>
      </c>
      <c r="C215" t="s">
        <v>19</v>
      </c>
      <c r="D215" t="s">
        <v>19</v>
      </c>
      <c r="E215" t="s">
        <v>19</v>
      </c>
      <c r="F215" t="s">
        <v>19</v>
      </c>
      <c r="G215" t="s">
        <v>19</v>
      </c>
      <c r="H215" t="s">
        <v>19</v>
      </c>
      <c r="I215" t="s">
        <v>19</v>
      </c>
      <c r="J215" t="s">
        <v>19</v>
      </c>
      <c r="K215" t="s">
        <v>19</v>
      </c>
    </row>
    <row r="216" spans="1:13" x14ac:dyDescent="0.3">
      <c r="A216" t="s">
        <v>20</v>
      </c>
      <c r="B216" t="s">
        <v>20</v>
      </c>
      <c r="C216" t="s">
        <v>20</v>
      </c>
      <c r="D216" t="s">
        <v>20</v>
      </c>
      <c r="E216" t="s">
        <v>20</v>
      </c>
      <c r="F216" t="s">
        <v>20</v>
      </c>
      <c r="G216" t="s">
        <v>20</v>
      </c>
      <c r="H216" t="s">
        <v>20</v>
      </c>
      <c r="I216" t="s">
        <v>20</v>
      </c>
      <c r="J216" t="s">
        <v>20</v>
      </c>
      <c r="K216" t="s">
        <v>20</v>
      </c>
    </row>
    <row r="217" spans="1:13" x14ac:dyDescent="0.3">
      <c r="A217" t="s">
        <v>15</v>
      </c>
      <c r="B217" t="s">
        <v>15</v>
      </c>
      <c r="C217" t="s">
        <v>15</v>
      </c>
      <c r="D217" t="s">
        <v>15</v>
      </c>
      <c r="E217" t="s">
        <v>15</v>
      </c>
      <c r="F217" t="s">
        <v>15</v>
      </c>
      <c r="G217" t="s">
        <v>15</v>
      </c>
      <c r="H217" t="s">
        <v>15</v>
      </c>
      <c r="I217" t="s">
        <v>15</v>
      </c>
      <c r="J217" t="s">
        <v>15</v>
      </c>
      <c r="K217" t="s">
        <v>15</v>
      </c>
      <c r="L217" t="s">
        <v>16</v>
      </c>
      <c r="M217" t="s">
        <v>17</v>
      </c>
    </row>
    <row r="218" spans="1:13" x14ac:dyDescent="0.3">
      <c r="A218">
        <v>270.13</v>
      </c>
      <c r="B218">
        <v>270.13</v>
      </c>
      <c r="C218">
        <v>270.13</v>
      </c>
      <c r="D218">
        <v>270.13</v>
      </c>
      <c r="E218">
        <v>270.13</v>
      </c>
      <c r="F218">
        <v>270.13</v>
      </c>
      <c r="G218">
        <v>270.13</v>
      </c>
      <c r="H218">
        <v>270.13</v>
      </c>
      <c r="I218">
        <v>270.13</v>
      </c>
      <c r="J218">
        <v>270.13</v>
      </c>
      <c r="K218">
        <v>270.13</v>
      </c>
    </row>
    <row r="219" spans="1:13" x14ac:dyDescent="0.3">
      <c r="A219">
        <v>4.53</v>
      </c>
      <c r="B219">
        <v>4.53</v>
      </c>
      <c r="C219">
        <v>4.53</v>
      </c>
      <c r="D219">
        <v>4.53</v>
      </c>
      <c r="E219">
        <v>4.53</v>
      </c>
      <c r="F219">
        <v>4.53</v>
      </c>
      <c r="G219">
        <v>4.53</v>
      </c>
      <c r="H219">
        <v>4.53</v>
      </c>
      <c r="I219">
        <v>4.53</v>
      </c>
      <c r="J219">
        <v>4.53</v>
      </c>
      <c r="K219">
        <v>4.53</v>
      </c>
    </row>
    <row r="220" spans="1:13" x14ac:dyDescent="0.3">
      <c r="A220">
        <v>100</v>
      </c>
      <c r="B220">
        <v>100</v>
      </c>
      <c r="C220">
        <v>100</v>
      </c>
      <c r="D220">
        <v>100</v>
      </c>
      <c r="E220">
        <v>100</v>
      </c>
      <c r="F220">
        <v>100</v>
      </c>
      <c r="G220">
        <v>100</v>
      </c>
      <c r="H220">
        <v>100</v>
      </c>
      <c r="I220">
        <v>100</v>
      </c>
      <c r="J220">
        <v>100</v>
      </c>
      <c r="K220">
        <v>100</v>
      </c>
    </row>
    <row r="221" spans="1:13" x14ac:dyDescent="0.3">
      <c r="A221">
        <v>269.75</v>
      </c>
      <c r="B221">
        <v>269.75</v>
      </c>
      <c r="C221">
        <v>269.75</v>
      </c>
      <c r="D221">
        <v>269.75</v>
      </c>
      <c r="E221">
        <v>269.75</v>
      </c>
      <c r="F221">
        <v>269.75</v>
      </c>
      <c r="G221">
        <v>269.75</v>
      </c>
      <c r="H221">
        <v>269.75</v>
      </c>
      <c r="I221">
        <v>269.75</v>
      </c>
      <c r="J221">
        <v>269.75</v>
      </c>
      <c r="K221">
        <v>269.75</v>
      </c>
    </row>
    <row r="222" spans="1:13" x14ac:dyDescent="0.3">
      <c r="A222">
        <v>270</v>
      </c>
      <c r="B222">
        <v>270</v>
      </c>
      <c r="C222">
        <v>270</v>
      </c>
      <c r="D222">
        <v>270</v>
      </c>
      <c r="E222">
        <v>270</v>
      </c>
      <c r="F222">
        <v>270</v>
      </c>
      <c r="G222">
        <v>270</v>
      </c>
      <c r="H222">
        <v>270</v>
      </c>
      <c r="I222">
        <v>270</v>
      </c>
      <c r="J222">
        <v>270</v>
      </c>
      <c r="K222">
        <v>270</v>
      </c>
    </row>
    <row r="223" spans="1:13" x14ac:dyDescent="0.3">
      <c r="A223">
        <v>400</v>
      </c>
      <c r="B223">
        <v>400</v>
      </c>
      <c r="C223">
        <v>400</v>
      </c>
      <c r="D223">
        <v>400</v>
      </c>
      <c r="E223">
        <v>400</v>
      </c>
      <c r="F223">
        <v>400</v>
      </c>
      <c r="G223">
        <v>400</v>
      </c>
      <c r="H223">
        <v>400</v>
      </c>
      <c r="I223">
        <v>400</v>
      </c>
      <c r="J223">
        <v>400</v>
      </c>
      <c r="K223">
        <v>400</v>
      </c>
    </row>
    <row r="224" spans="1:13" x14ac:dyDescent="0.3">
      <c r="A224" t="s">
        <v>36</v>
      </c>
      <c r="B224" t="s">
        <v>36</v>
      </c>
      <c r="C224" t="s">
        <v>36</v>
      </c>
      <c r="D224" t="s">
        <v>36</v>
      </c>
      <c r="E224" t="s">
        <v>36</v>
      </c>
      <c r="F224" t="s">
        <v>36</v>
      </c>
      <c r="G224" t="s">
        <v>36</v>
      </c>
      <c r="H224" t="s">
        <v>36</v>
      </c>
      <c r="I224" t="s">
        <v>36</v>
      </c>
      <c r="J224" t="s">
        <v>36</v>
      </c>
      <c r="K224" t="s">
        <v>36</v>
      </c>
    </row>
    <row r="225" spans="1:13" x14ac:dyDescent="0.3">
      <c r="A225">
        <v>8132579</v>
      </c>
      <c r="B225">
        <v>8132579</v>
      </c>
      <c r="C225">
        <v>8132579</v>
      </c>
      <c r="D225">
        <v>8132579</v>
      </c>
      <c r="E225">
        <v>8132579</v>
      </c>
      <c r="F225">
        <v>8132579</v>
      </c>
      <c r="G225">
        <v>8132579</v>
      </c>
      <c r="H225">
        <v>8132579</v>
      </c>
      <c r="I225">
        <v>8132579</v>
      </c>
      <c r="J225">
        <v>8132579</v>
      </c>
      <c r="K225">
        <v>8132579</v>
      </c>
    </row>
    <row r="226" spans="1:13" x14ac:dyDescent="0.3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1:13" x14ac:dyDescent="0.3">
      <c r="A227" t="s">
        <v>19</v>
      </c>
      <c r="B227" t="s">
        <v>19</v>
      </c>
      <c r="C227" t="s">
        <v>19</v>
      </c>
      <c r="D227" t="s">
        <v>19</v>
      </c>
      <c r="E227" t="s">
        <v>19</v>
      </c>
      <c r="F227" t="s">
        <v>19</v>
      </c>
      <c r="G227" t="s">
        <v>19</v>
      </c>
      <c r="H227" t="s">
        <v>19</v>
      </c>
      <c r="I227" t="s">
        <v>19</v>
      </c>
      <c r="J227" t="s">
        <v>19</v>
      </c>
      <c r="K227" t="s">
        <v>19</v>
      </c>
    </row>
    <row r="228" spans="1:13" x14ac:dyDescent="0.3">
      <c r="A228" t="s">
        <v>20</v>
      </c>
      <c r="B228" t="s">
        <v>20</v>
      </c>
      <c r="C228" t="s">
        <v>20</v>
      </c>
      <c r="D228" t="s">
        <v>20</v>
      </c>
      <c r="E228" t="s">
        <v>20</v>
      </c>
      <c r="F228" t="s">
        <v>20</v>
      </c>
      <c r="G228" t="s">
        <v>20</v>
      </c>
      <c r="H228" t="s">
        <v>20</v>
      </c>
      <c r="I228" t="s">
        <v>20</v>
      </c>
      <c r="J228" t="s">
        <v>20</v>
      </c>
      <c r="K228" t="s">
        <v>20</v>
      </c>
    </row>
    <row r="229" spans="1:13" x14ac:dyDescent="0.3">
      <c r="A229" t="s">
        <v>15</v>
      </c>
      <c r="B229" t="s">
        <v>15</v>
      </c>
      <c r="C229" t="s">
        <v>15</v>
      </c>
      <c r="D229" t="s">
        <v>15</v>
      </c>
      <c r="E229" t="s">
        <v>15</v>
      </c>
      <c r="F229" t="s">
        <v>15</v>
      </c>
      <c r="G229" t="s">
        <v>15</v>
      </c>
      <c r="H229" t="s">
        <v>15</v>
      </c>
      <c r="I229" t="s">
        <v>15</v>
      </c>
      <c r="J229" t="s">
        <v>15</v>
      </c>
      <c r="K229" t="s">
        <v>15</v>
      </c>
      <c r="L229" t="s">
        <v>16</v>
      </c>
      <c r="M229" t="s">
        <v>17</v>
      </c>
    </row>
    <row r="230" spans="1:13" x14ac:dyDescent="0.3">
      <c r="A230">
        <v>265.08999999999997</v>
      </c>
      <c r="B230">
        <v>265.08999999999997</v>
      </c>
      <c r="C230">
        <v>265.08999999999997</v>
      </c>
      <c r="D230">
        <v>265.08999999999997</v>
      </c>
      <c r="E230">
        <v>265.08999999999997</v>
      </c>
      <c r="F230">
        <v>265.08999999999997</v>
      </c>
      <c r="G230">
        <v>265.08999999999997</v>
      </c>
      <c r="H230">
        <v>265.08999999999997</v>
      </c>
      <c r="I230">
        <v>265.08999999999997</v>
      </c>
      <c r="J230">
        <v>265.08999999999997</v>
      </c>
      <c r="K230">
        <v>265.08999999999997</v>
      </c>
    </row>
    <row r="231" spans="1:13" x14ac:dyDescent="0.3">
      <c r="A231">
        <v>-0.86</v>
      </c>
      <c r="B231">
        <v>-0.86</v>
      </c>
      <c r="C231">
        <v>-0.86</v>
      </c>
      <c r="D231">
        <v>-0.86</v>
      </c>
      <c r="E231">
        <v>-0.86</v>
      </c>
      <c r="F231">
        <v>-0.86</v>
      </c>
      <c r="G231">
        <v>-0.86</v>
      </c>
      <c r="H231">
        <v>-0.86</v>
      </c>
      <c r="I231">
        <v>-0.86</v>
      </c>
      <c r="J231">
        <v>-0.86</v>
      </c>
      <c r="K231">
        <v>-0.86</v>
      </c>
    </row>
    <row r="232" spans="1:13" x14ac:dyDescent="0.3">
      <c r="A232">
        <v>100</v>
      </c>
      <c r="B232">
        <v>100</v>
      </c>
      <c r="C232">
        <v>100</v>
      </c>
      <c r="D232">
        <v>100</v>
      </c>
      <c r="E232">
        <v>100</v>
      </c>
      <c r="F232">
        <v>100</v>
      </c>
      <c r="G232">
        <v>100</v>
      </c>
      <c r="H232">
        <v>100</v>
      </c>
      <c r="I232">
        <v>100</v>
      </c>
      <c r="J232">
        <v>100</v>
      </c>
      <c r="K232">
        <v>100</v>
      </c>
    </row>
    <row r="233" spans="1:13" x14ac:dyDescent="0.3">
      <c r="A233">
        <v>265.12</v>
      </c>
      <c r="B233">
        <v>265.12</v>
      </c>
      <c r="C233">
        <v>265.12</v>
      </c>
      <c r="D233">
        <v>265.12</v>
      </c>
      <c r="E233">
        <v>265.12</v>
      </c>
      <c r="F233">
        <v>265.12</v>
      </c>
      <c r="G233">
        <v>265.12</v>
      </c>
      <c r="H233">
        <v>265.12</v>
      </c>
      <c r="I233">
        <v>265.12</v>
      </c>
      <c r="J233">
        <v>265.12</v>
      </c>
      <c r="K233">
        <v>265.12</v>
      </c>
    </row>
    <row r="234" spans="1:13" x14ac:dyDescent="0.3">
      <c r="A234">
        <v>266.66000000000003</v>
      </c>
      <c r="B234">
        <v>266.66000000000003</v>
      </c>
      <c r="C234">
        <v>266.66000000000003</v>
      </c>
      <c r="D234">
        <v>266.66000000000003</v>
      </c>
      <c r="E234">
        <v>266.66000000000003</v>
      </c>
      <c r="F234">
        <v>266.66000000000003</v>
      </c>
      <c r="G234">
        <v>266.66000000000003</v>
      </c>
      <c r="H234">
        <v>266.66000000000003</v>
      </c>
      <c r="I234">
        <v>266.66000000000003</v>
      </c>
      <c r="J234">
        <v>266.66000000000003</v>
      </c>
      <c r="K234">
        <v>266.66000000000003</v>
      </c>
    </row>
    <row r="235" spans="1:13" x14ac:dyDescent="0.3">
      <c r="A235">
        <v>100</v>
      </c>
      <c r="B235">
        <v>100</v>
      </c>
      <c r="C235">
        <v>100</v>
      </c>
      <c r="D235">
        <v>100</v>
      </c>
      <c r="E235">
        <v>100</v>
      </c>
      <c r="F235">
        <v>100</v>
      </c>
      <c r="G235">
        <v>100</v>
      </c>
      <c r="H235">
        <v>100</v>
      </c>
      <c r="I235">
        <v>100</v>
      </c>
      <c r="J235">
        <v>100</v>
      </c>
      <c r="K235">
        <v>100</v>
      </c>
    </row>
    <row r="236" spans="1:13" x14ac:dyDescent="0.3">
      <c r="A236" t="s">
        <v>37</v>
      </c>
      <c r="B236" t="s">
        <v>37</v>
      </c>
      <c r="C236" t="s">
        <v>37</v>
      </c>
      <c r="D236" t="s">
        <v>37</v>
      </c>
      <c r="E236" t="s">
        <v>37</v>
      </c>
      <c r="F236" t="s">
        <v>37</v>
      </c>
      <c r="G236" t="s">
        <v>37</v>
      </c>
      <c r="H236" t="s">
        <v>37</v>
      </c>
      <c r="I236" t="s">
        <v>37</v>
      </c>
      <c r="J236" t="s">
        <v>37</v>
      </c>
      <c r="K236" t="s">
        <v>37</v>
      </c>
    </row>
    <row r="237" spans="1:13" x14ac:dyDescent="0.3">
      <c r="A237">
        <v>1060894</v>
      </c>
      <c r="B237">
        <v>1060894</v>
      </c>
      <c r="C237">
        <v>1060894</v>
      </c>
      <c r="D237">
        <v>1060894</v>
      </c>
      <c r="E237">
        <v>1060894</v>
      </c>
      <c r="F237">
        <v>1060894</v>
      </c>
      <c r="G237">
        <v>1060894</v>
      </c>
      <c r="H237">
        <v>1060894</v>
      </c>
      <c r="I237">
        <v>1060894</v>
      </c>
      <c r="J237">
        <v>1060894</v>
      </c>
      <c r="K237">
        <v>1060894</v>
      </c>
    </row>
    <row r="238" spans="1:13" x14ac:dyDescent="0.3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1:13" x14ac:dyDescent="0.3">
      <c r="A239" t="s">
        <v>19</v>
      </c>
      <c r="B239" t="s">
        <v>19</v>
      </c>
      <c r="C239" t="s">
        <v>19</v>
      </c>
      <c r="D239" t="s">
        <v>19</v>
      </c>
      <c r="E239" t="s">
        <v>19</v>
      </c>
      <c r="F239" t="s">
        <v>19</v>
      </c>
      <c r="G239" t="s">
        <v>19</v>
      </c>
      <c r="H239" t="s">
        <v>19</v>
      </c>
      <c r="I239" t="s">
        <v>19</v>
      </c>
      <c r="J239" t="s">
        <v>19</v>
      </c>
      <c r="K239" t="s">
        <v>19</v>
      </c>
    </row>
    <row r="240" spans="1:13" x14ac:dyDescent="0.3">
      <c r="A240" t="s">
        <v>20</v>
      </c>
      <c r="B240" t="s">
        <v>20</v>
      </c>
      <c r="C240" t="s">
        <v>20</v>
      </c>
      <c r="D240" t="s">
        <v>20</v>
      </c>
      <c r="E240" t="s">
        <v>20</v>
      </c>
      <c r="F240" t="s">
        <v>20</v>
      </c>
      <c r="G240" t="s">
        <v>20</v>
      </c>
      <c r="H240" t="s">
        <v>20</v>
      </c>
      <c r="I240" t="s">
        <v>20</v>
      </c>
      <c r="J240" t="s">
        <v>20</v>
      </c>
      <c r="K240" t="s">
        <v>20</v>
      </c>
    </row>
    <row r="241" spans="1:13" x14ac:dyDescent="0.3">
      <c r="A241" t="s">
        <v>15</v>
      </c>
      <c r="B241" t="s">
        <v>15</v>
      </c>
      <c r="C241" t="s">
        <v>15</v>
      </c>
      <c r="D241" t="s">
        <v>15</v>
      </c>
      <c r="E241" t="s">
        <v>15</v>
      </c>
      <c r="F241" t="s">
        <v>15</v>
      </c>
      <c r="G241" t="s">
        <v>15</v>
      </c>
      <c r="H241" t="s">
        <v>15</v>
      </c>
      <c r="I241" t="s">
        <v>15</v>
      </c>
      <c r="J241" t="s">
        <v>15</v>
      </c>
      <c r="K241" t="s">
        <v>15</v>
      </c>
      <c r="L241" t="s">
        <v>16</v>
      </c>
      <c r="M241" t="s">
        <v>17</v>
      </c>
    </row>
    <row r="242" spans="1:13" x14ac:dyDescent="0.3">
      <c r="A242">
        <v>2096.42</v>
      </c>
      <c r="B242">
        <v>2096.42</v>
      </c>
      <c r="C242">
        <v>2096.42</v>
      </c>
      <c r="D242">
        <v>2096.42</v>
      </c>
      <c r="E242">
        <v>2096.42</v>
      </c>
      <c r="F242">
        <v>2096.42</v>
      </c>
      <c r="G242">
        <v>2096.42</v>
      </c>
      <c r="H242">
        <v>2096.42</v>
      </c>
      <c r="I242">
        <v>2096.42</v>
      </c>
      <c r="J242">
        <v>2096.42</v>
      </c>
      <c r="K242">
        <v>2096.42</v>
      </c>
    </row>
    <row r="243" spans="1:13" x14ac:dyDescent="0.3">
      <c r="A243">
        <v>0.65</v>
      </c>
      <c r="B243">
        <v>0.65</v>
      </c>
      <c r="C243">
        <v>0.65</v>
      </c>
      <c r="D243">
        <v>0.65</v>
      </c>
      <c r="E243">
        <v>0.65</v>
      </c>
      <c r="F243">
        <v>0.65</v>
      </c>
      <c r="G243">
        <v>0.65</v>
      </c>
      <c r="H243">
        <v>0.65</v>
      </c>
      <c r="I243">
        <v>0.65</v>
      </c>
      <c r="J243">
        <v>0.65</v>
      </c>
      <c r="K243">
        <v>0.65</v>
      </c>
    </row>
    <row r="244" spans="1:13" x14ac:dyDescent="0.3">
      <c r="A244">
        <v>200</v>
      </c>
      <c r="B244">
        <v>200</v>
      </c>
      <c r="C244">
        <v>200</v>
      </c>
      <c r="D244">
        <v>200</v>
      </c>
      <c r="E244">
        <v>200</v>
      </c>
      <c r="F244">
        <v>200</v>
      </c>
      <c r="G244">
        <v>200</v>
      </c>
      <c r="H244">
        <v>200</v>
      </c>
      <c r="I244">
        <v>200</v>
      </c>
      <c r="J244">
        <v>200</v>
      </c>
      <c r="K244">
        <v>200</v>
      </c>
    </row>
    <row r="245" spans="1:13" x14ac:dyDescent="0.3">
      <c r="A245">
        <v>2072.67</v>
      </c>
      <c r="B245">
        <v>2072.67</v>
      </c>
      <c r="C245">
        <v>2072.67</v>
      </c>
      <c r="D245">
        <v>2072.67</v>
      </c>
      <c r="E245">
        <v>2072.67</v>
      </c>
      <c r="F245">
        <v>2072.67</v>
      </c>
      <c r="G245">
        <v>2072.67</v>
      </c>
      <c r="H245">
        <v>2072.67</v>
      </c>
      <c r="I245">
        <v>2072.67</v>
      </c>
      <c r="J245">
        <v>2072.67</v>
      </c>
      <c r="K245">
        <v>2072.67</v>
      </c>
    </row>
    <row r="246" spans="1:13" x14ac:dyDescent="0.3">
      <c r="A246">
        <v>2100</v>
      </c>
      <c r="B246">
        <v>2100</v>
      </c>
      <c r="C246">
        <v>2100</v>
      </c>
      <c r="D246">
        <v>2100</v>
      </c>
      <c r="E246">
        <v>2100</v>
      </c>
      <c r="F246">
        <v>2100</v>
      </c>
      <c r="G246">
        <v>2100</v>
      </c>
      <c r="H246">
        <v>2100</v>
      </c>
      <c r="I246">
        <v>2100</v>
      </c>
      <c r="J246">
        <v>2100</v>
      </c>
      <c r="K246">
        <v>2100</v>
      </c>
    </row>
    <row r="247" spans="1:13" x14ac:dyDescent="0.3">
      <c r="A247">
        <v>100</v>
      </c>
      <c r="B247">
        <v>100</v>
      </c>
      <c r="C247">
        <v>100</v>
      </c>
      <c r="D247">
        <v>100</v>
      </c>
      <c r="E247">
        <v>100</v>
      </c>
      <c r="F247">
        <v>100</v>
      </c>
      <c r="G247">
        <v>100</v>
      </c>
      <c r="H247">
        <v>100</v>
      </c>
      <c r="I247">
        <v>100</v>
      </c>
      <c r="J247">
        <v>100</v>
      </c>
      <c r="K247">
        <v>100</v>
      </c>
    </row>
    <row r="248" spans="1:13" x14ac:dyDescent="0.3">
      <c r="A248" t="s">
        <v>32</v>
      </c>
      <c r="B248" t="s">
        <v>32</v>
      </c>
      <c r="C248" t="s">
        <v>32</v>
      </c>
      <c r="D248" t="s">
        <v>32</v>
      </c>
      <c r="E248" t="s">
        <v>32</v>
      </c>
      <c r="F248" t="s">
        <v>32</v>
      </c>
      <c r="G248" t="s">
        <v>32</v>
      </c>
      <c r="H248" t="s">
        <v>32</v>
      </c>
      <c r="I248" t="s">
        <v>32</v>
      </c>
      <c r="J248" t="s">
        <v>32</v>
      </c>
      <c r="K248" t="s">
        <v>32</v>
      </c>
    </row>
    <row r="249" spans="1:13" x14ac:dyDescent="0.3">
      <c r="A249">
        <v>237626</v>
      </c>
      <c r="B249">
        <v>237626</v>
      </c>
      <c r="C249">
        <v>237626</v>
      </c>
      <c r="D249">
        <v>237626</v>
      </c>
      <c r="E249">
        <v>237626</v>
      </c>
      <c r="F249">
        <v>237626</v>
      </c>
      <c r="G249">
        <v>237626</v>
      </c>
      <c r="H249">
        <v>237626</v>
      </c>
      <c r="I249">
        <v>237626</v>
      </c>
      <c r="J249">
        <v>237626</v>
      </c>
      <c r="K249">
        <v>237626</v>
      </c>
    </row>
    <row r="250" spans="1:13" x14ac:dyDescent="0.3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1:13" x14ac:dyDescent="0.3">
      <c r="A251" t="s">
        <v>19</v>
      </c>
      <c r="B251" t="s">
        <v>19</v>
      </c>
      <c r="C251" t="s">
        <v>19</v>
      </c>
      <c r="D251" t="s">
        <v>19</v>
      </c>
      <c r="E251" t="s">
        <v>19</v>
      </c>
      <c r="F251" t="s">
        <v>19</v>
      </c>
      <c r="G251" t="s">
        <v>19</v>
      </c>
      <c r="H251" t="s">
        <v>19</v>
      </c>
      <c r="I251" t="s">
        <v>19</v>
      </c>
      <c r="J251" t="s">
        <v>19</v>
      </c>
      <c r="K251" t="s">
        <v>19</v>
      </c>
    </row>
    <row r="252" spans="1:13" x14ac:dyDescent="0.3">
      <c r="A252" t="s">
        <v>20</v>
      </c>
      <c r="B252" t="s">
        <v>20</v>
      </c>
      <c r="C252" t="s">
        <v>20</v>
      </c>
      <c r="D252" t="s">
        <v>20</v>
      </c>
      <c r="E252" t="s">
        <v>20</v>
      </c>
      <c r="F252" t="s">
        <v>20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</row>
    <row r="253" spans="1:13" x14ac:dyDescent="0.3">
      <c r="A253" t="s">
        <v>15</v>
      </c>
      <c r="B253" t="s">
        <v>15</v>
      </c>
      <c r="C253" t="s">
        <v>15</v>
      </c>
      <c r="D253" t="s">
        <v>15</v>
      </c>
      <c r="E253" t="s">
        <v>15</v>
      </c>
      <c r="F253" t="s">
        <v>15</v>
      </c>
      <c r="G253" t="s">
        <v>15</v>
      </c>
      <c r="H253" t="s">
        <v>15</v>
      </c>
      <c r="I253" t="s">
        <v>15</v>
      </c>
      <c r="J253" t="s">
        <v>15</v>
      </c>
      <c r="K253" t="s">
        <v>15</v>
      </c>
      <c r="L253" t="s">
        <v>16</v>
      </c>
      <c r="M253" t="s">
        <v>17</v>
      </c>
    </row>
    <row r="254" spans="1:13" x14ac:dyDescent="0.3">
      <c r="A254">
        <v>466.01</v>
      </c>
      <c r="B254">
        <v>466.01</v>
      </c>
      <c r="C254">
        <v>466.01</v>
      </c>
      <c r="D254">
        <v>466.01</v>
      </c>
      <c r="E254">
        <v>466.01</v>
      </c>
      <c r="F254">
        <v>466.01</v>
      </c>
      <c r="G254">
        <v>466.01</v>
      </c>
      <c r="H254">
        <v>466.01</v>
      </c>
      <c r="I254">
        <v>466.01</v>
      </c>
      <c r="J254">
        <v>466.01</v>
      </c>
      <c r="K254">
        <v>466.01</v>
      </c>
    </row>
    <row r="255" spans="1:13" x14ac:dyDescent="0.3">
      <c r="A255">
        <v>-0.98</v>
      </c>
      <c r="B255">
        <v>-0.98</v>
      </c>
      <c r="C255">
        <v>-0.98</v>
      </c>
      <c r="D255">
        <v>-0.98</v>
      </c>
      <c r="E255">
        <v>-0.98</v>
      </c>
      <c r="F255">
        <v>-0.98</v>
      </c>
      <c r="G255">
        <v>-0.98</v>
      </c>
      <c r="H255">
        <v>-0.98</v>
      </c>
      <c r="I255">
        <v>-0.98</v>
      </c>
      <c r="J255">
        <v>-0.98</v>
      </c>
      <c r="K255">
        <v>-0.98</v>
      </c>
    </row>
    <row r="256" spans="1:13" x14ac:dyDescent="0.3">
      <c r="A256">
        <v>100</v>
      </c>
      <c r="B256">
        <v>100</v>
      </c>
      <c r="C256">
        <v>100</v>
      </c>
      <c r="D256">
        <v>100</v>
      </c>
      <c r="E256">
        <v>100</v>
      </c>
      <c r="F256">
        <v>100</v>
      </c>
      <c r="G256">
        <v>100</v>
      </c>
      <c r="H256">
        <v>100</v>
      </c>
      <c r="I256">
        <v>100</v>
      </c>
      <c r="J256">
        <v>100</v>
      </c>
      <c r="K256">
        <v>100</v>
      </c>
    </row>
    <row r="257" spans="1:13" x14ac:dyDescent="0.3">
      <c r="A257">
        <v>465.02</v>
      </c>
      <c r="B257">
        <v>465.02</v>
      </c>
      <c r="C257">
        <v>465.02</v>
      </c>
      <c r="D257">
        <v>465.02</v>
      </c>
      <c r="E257">
        <v>465.02</v>
      </c>
      <c r="F257">
        <v>465.02</v>
      </c>
      <c r="G257">
        <v>465.02</v>
      </c>
      <c r="H257">
        <v>465.02</v>
      </c>
      <c r="I257">
        <v>465.02</v>
      </c>
      <c r="J257">
        <v>465.02</v>
      </c>
      <c r="K257">
        <v>465.02</v>
      </c>
    </row>
    <row r="258" spans="1:13" x14ac:dyDescent="0.3">
      <c r="A258">
        <v>469.24</v>
      </c>
      <c r="B258">
        <v>469.24</v>
      </c>
      <c r="C258">
        <v>469.24</v>
      </c>
      <c r="D258">
        <v>469.24</v>
      </c>
      <c r="E258">
        <v>469.24</v>
      </c>
      <c r="F258">
        <v>469.24</v>
      </c>
      <c r="G258">
        <v>469.24</v>
      </c>
      <c r="H258">
        <v>469.24</v>
      </c>
      <c r="I258">
        <v>469.24</v>
      </c>
      <c r="J258">
        <v>469.24</v>
      </c>
      <c r="K258">
        <v>469.24</v>
      </c>
    </row>
    <row r="259" spans="1:13" x14ac:dyDescent="0.3">
      <c r="A259">
        <v>100</v>
      </c>
      <c r="B259">
        <v>100</v>
      </c>
      <c r="C259">
        <v>100</v>
      </c>
      <c r="D259">
        <v>100</v>
      </c>
      <c r="E259">
        <v>100</v>
      </c>
      <c r="F259">
        <v>100</v>
      </c>
      <c r="G259">
        <v>100</v>
      </c>
      <c r="H259">
        <v>100</v>
      </c>
      <c r="I259">
        <v>100</v>
      </c>
      <c r="J259">
        <v>100</v>
      </c>
      <c r="K259">
        <v>100</v>
      </c>
    </row>
    <row r="260" spans="1:13" x14ac:dyDescent="0.3">
      <c r="A260" t="s">
        <v>33</v>
      </c>
      <c r="B260" t="s">
        <v>33</v>
      </c>
      <c r="C260" t="s">
        <v>33</v>
      </c>
      <c r="D260" t="s">
        <v>33</v>
      </c>
      <c r="E260" t="s">
        <v>33</v>
      </c>
      <c r="F260" t="s">
        <v>33</v>
      </c>
      <c r="G260" t="s">
        <v>33</v>
      </c>
      <c r="H260" t="s">
        <v>33</v>
      </c>
      <c r="I260" t="s">
        <v>33</v>
      </c>
      <c r="J260" t="s">
        <v>33</v>
      </c>
      <c r="K260" t="s">
        <v>33</v>
      </c>
    </row>
    <row r="261" spans="1:13" x14ac:dyDescent="0.3">
      <c r="A261">
        <v>1244762</v>
      </c>
      <c r="B261">
        <v>1244762</v>
      </c>
      <c r="C261">
        <v>1244762</v>
      </c>
      <c r="D261">
        <v>1244762</v>
      </c>
      <c r="E261">
        <v>1244762</v>
      </c>
      <c r="F261">
        <v>1244762</v>
      </c>
      <c r="G261">
        <v>1244762</v>
      </c>
      <c r="H261">
        <v>1244762</v>
      </c>
      <c r="I261">
        <v>1244762</v>
      </c>
      <c r="J261">
        <v>1244762</v>
      </c>
      <c r="K261">
        <v>1244762</v>
      </c>
    </row>
    <row r="262" spans="1:13" x14ac:dyDescent="0.3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1:13" x14ac:dyDescent="0.3">
      <c r="A263" t="s">
        <v>19</v>
      </c>
      <c r="B263" t="s">
        <v>19</v>
      </c>
      <c r="C263" t="s">
        <v>19</v>
      </c>
      <c r="D263" t="s">
        <v>19</v>
      </c>
      <c r="E263" t="s">
        <v>19</v>
      </c>
      <c r="F263" t="s">
        <v>19</v>
      </c>
      <c r="G263" t="s">
        <v>19</v>
      </c>
      <c r="H263" t="s">
        <v>19</v>
      </c>
      <c r="I263" t="s">
        <v>19</v>
      </c>
      <c r="J263" t="s">
        <v>19</v>
      </c>
      <c r="K263" t="s">
        <v>19</v>
      </c>
    </row>
    <row r="264" spans="1:13" x14ac:dyDescent="0.3">
      <c r="A264" t="s">
        <v>28</v>
      </c>
      <c r="B264" t="s">
        <v>28</v>
      </c>
      <c r="C264" t="s">
        <v>28</v>
      </c>
      <c r="D264" t="s">
        <v>28</v>
      </c>
      <c r="E264" t="s">
        <v>28</v>
      </c>
      <c r="F264" t="s">
        <v>28</v>
      </c>
      <c r="G264" t="s">
        <v>28</v>
      </c>
      <c r="H264" t="s">
        <v>28</v>
      </c>
      <c r="I264" t="s">
        <v>28</v>
      </c>
      <c r="J264" t="s">
        <v>28</v>
      </c>
      <c r="K264" t="s">
        <v>28</v>
      </c>
    </row>
    <row r="265" spans="1:13" x14ac:dyDescent="0.3">
      <c r="A265" t="s">
        <v>15</v>
      </c>
      <c r="B265" t="s">
        <v>15</v>
      </c>
      <c r="C265" t="s">
        <v>15</v>
      </c>
      <c r="D265" t="s">
        <v>15</v>
      </c>
      <c r="E265" t="s">
        <v>15</v>
      </c>
      <c r="F265" t="s">
        <v>15</v>
      </c>
      <c r="G265" t="s">
        <v>15</v>
      </c>
      <c r="H265" t="s">
        <v>15</v>
      </c>
      <c r="I265" t="s">
        <v>15</v>
      </c>
      <c r="J265" t="s">
        <v>15</v>
      </c>
      <c r="K265" t="s">
        <v>15</v>
      </c>
      <c r="L265" t="s">
        <v>16</v>
      </c>
      <c r="M265" t="s">
        <v>17</v>
      </c>
    </row>
    <row r="266" spans="1:13" x14ac:dyDescent="0.3">
      <c r="A266">
        <v>135.80000000000001</v>
      </c>
      <c r="B266">
        <v>135.80000000000001</v>
      </c>
      <c r="C266">
        <v>135.80000000000001</v>
      </c>
      <c r="D266">
        <v>135.80000000000001</v>
      </c>
      <c r="E266">
        <v>135.80000000000001</v>
      </c>
      <c r="F266">
        <v>135.80000000000001</v>
      </c>
      <c r="G266">
        <v>135.80000000000001</v>
      </c>
      <c r="H266">
        <v>135.80000000000001</v>
      </c>
      <c r="I266">
        <v>135.80000000000001</v>
      </c>
      <c r="J266">
        <v>135.80000000000001</v>
      </c>
      <c r="K266">
        <v>135.80000000000001</v>
      </c>
    </row>
    <row r="267" spans="1:13" x14ac:dyDescent="0.3">
      <c r="A267">
        <v>-0.95</v>
      </c>
      <c r="B267">
        <v>-0.95</v>
      </c>
      <c r="C267">
        <v>-0.95</v>
      </c>
      <c r="D267">
        <v>-0.95</v>
      </c>
      <c r="E267">
        <v>-0.95</v>
      </c>
      <c r="F267">
        <v>-0.95</v>
      </c>
      <c r="G267">
        <v>-0.95</v>
      </c>
      <c r="H267">
        <v>-0.95</v>
      </c>
      <c r="I267">
        <v>-0.95</v>
      </c>
      <c r="J267">
        <v>-0.95</v>
      </c>
      <c r="K267">
        <v>-0.95</v>
      </c>
    </row>
    <row r="268" spans="1:13" x14ac:dyDescent="0.3">
      <c r="A268">
        <v>100</v>
      </c>
      <c r="B268">
        <v>100</v>
      </c>
      <c r="C268">
        <v>100</v>
      </c>
      <c r="D268">
        <v>100</v>
      </c>
      <c r="E268">
        <v>100</v>
      </c>
      <c r="F268">
        <v>100</v>
      </c>
      <c r="G268">
        <v>100</v>
      </c>
      <c r="H268">
        <v>100</v>
      </c>
      <c r="I268">
        <v>100</v>
      </c>
      <c r="J268">
        <v>100</v>
      </c>
      <c r="K268">
        <v>100</v>
      </c>
    </row>
    <row r="269" spans="1:13" x14ac:dyDescent="0.3">
      <c r="A269">
        <v>135.21</v>
      </c>
      <c r="B269">
        <v>135.21</v>
      </c>
      <c r="C269">
        <v>135.21</v>
      </c>
      <c r="D269">
        <v>135.21</v>
      </c>
      <c r="E269">
        <v>135.21</v>
      </c>
      <c r="F269">
        <v>135.21</v>
      </c>
      <c r="G269">
        <v>135.21</v>
      </c>
      <c r="H269">
        <v>135.21</v>
      </c>
      <c r="I269">
        <v>135.21</v>
      </c>
      <c r="J269">
        <v>135.21</v>
      </c>
      <c r="K269">
        <v>135.21</v>
      </c>
    </row>
    <row r="270" spans="1:13" x14ac:dyDescent="0.3">
      <c r="A270">
        <v>139.32</v>
      </c>
      <c r="B270">
        <v>139.32</v>
      </c>
      <c r="C270">
        <v>139.32</v>
      </c>
      <c r="D270">
        <v>139.32</v>
      </c>
      <c r="E270">
        <v>139.32</v>
      </c>
      <c r="F270">
        <v>139.32</v>
      </c>
      <c r="G270">
        <v>139.32</v>
      </c>
      <c r="H270">
        <v>139.32</v>
      </c>
      <c r="I270">
        <v>139.32</v>
      </c>
      <c r="J270">
        <v>139.32</v>
      </c>
      <c r="K270">
        <v>139.32</v>
      </c>
    </row>
    <row r="271" spans="1:13" x14ac:dyDescent="0.3">
      <c r="A271">
        <v>100</v>
      </c>
      <c r="B271">
        <v>100</v>
      </c>
      <c r="C271">
        <v>100</v>
      </c>
      <c r="D271">
        <v>100</v>
      </c>
      <c r="E271">
        <v>100</v>
      </c>
      <c r="F271">
        <v>100</v>
      </c>
      <c r="G271">
        <v>100</v>
      </c>
      <c r="H271">
        <v>100</v>
      </c>
      <c r="I271">
        <v>100</v>
      </c>
      <c r="J271">
        <v>100</v>
      </c>
      <c r="K271">
        <v>100</v>
      </c>
    </row>
    <row r="272" spans="1:13" x14ac:dyDescent="0.3">
      <c r="A272" t="s">
        <v>38</v>
      </c>
      <c r="B272" t="s">
        <v>38</v>
      </c>
      <c r="C272" t="s">
        <v>38</v>
      </c>
      <c r="D272" t="s">
        <v>38</v>
      </c>
      <c r="E272" t="s">
        <v>38</v>
      </c>
      <c r="F272" t="s">
        <v>38</v>
      </c>
      <c r="G272" t="s">
        <v>38</v>
      </c>
      <c r="H272" t="s">
        <v>38</v>
      </c>
      <c r="I272" t="s">
        <v>38</v>
      </c>
      <c r="J272" t="s">
        <v>38</v>
      </c>
      <c r="K272" t="s">
        <v>38</v>
      </c>
    </row>
    <row r="273" spans="1:13" x14ac:dyDescent="0.3">
      <c r="A273">
        <v>1801183</v>
      </c>
      <c r="B273">
        <v>1801183</v>
      </c>
      <c r="C273">
        <v>1801183</v>
      </c>
      <c r="D273">
        <v>1801183</v>
      </c>
      <c r="E273">
        <v>1801183</v>
      </c>
      <c r="F273">
        <v>1801183</v>
      </c>
      <c r="G273">
        <v>1801183</v>
      </c>
      <c r="H273">
        <v>1801183</v>
      </c>
      <c r="I273">
        <v>1801183</v>
      </c>
      <c r="J273">
        <v>1801183</v>
      </c>
      <c r="K273">
        <v>1801183</v>
      </c>
    </row>
    <row r="274" spans="1:13" x14ac:dyDescent="0.3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1:13" x14ac:dyDescent="0.3">
      <c r="A275" t="s">
        <v>19</v>
      </c>
      <c r="B275" t="s">
        <v>19</v>
      </c>
      <c r="C275" t="s">
        <v>19</v>
      </c>
      <c r="D275" t="s">
        <v>19</v>
      </c>
      <c r="E275" t="s">
        <v>19</v>
      </c>
      <c r="F275" t="s">
        <v>19</v>
      </c>
      <c r="G275" t="s">
        <v>19</v>
      </c>
      <c r="H275" t="s">
        <v>19</v>
      </c>
      <c r="I275" t="s">
        <v>19</v>
      </c>
      <c r="J275" t="s">
        <v>19</v>
      </c>
      <c r="K275" t="s">
        <v>19</v>
      </c>
    </row>
    <row r="276" spans="1:13" x14ac:dyDescent="0.3">
      <c r="A276" t="s">
        <v>20</v>
      </c>
      <c r="B276" t="s">
        <v>20</v>
      </c>
      <c r="C276" t="s">
        <v>20</v>
      </c>
      <c r="D276" t="s">
        <v>20</v>
      </c>
      <c r="E276" t="s">
        <v>20</v>
      </c>
      <c r="F276" t="s">
        <v>20</v>
      </c>
      <c r="G276" t="s">
        <v>20</v>
      </c>
      <c r="H276" t="s">
        <v>20</v>
      </c>
      <c r="I276" t="s">
        <v>20</v>
      </c>
      <c r="J276" t="s">
        <v>20</v>
      </c>
      <c r="K276" t="s">
        <v>20</v>
      </c>
    </row>
    <row r="277" spans="1:13" x14ac:dyDescent="0.3">
      <c r="A277" t="s">
        <v>15</v>
      </c>
      <c r="B277" t="s">
        <v>15</v>
      </c>
      <c r="C277" t="s">
        <v>15</v>
      </c>
      <c r="D277" t="s">
        <v>15</v>
      </c>
      <c r="E277" t="s">
        <v>15</v>
      </c>
      <c r="F277" t="s">
        <v>15</v>
      </c>
      <c r="G277" t="s">
        <v>15</v>
      </c>
      <c r="H277" t="s">
        <v>15</v>
      </c>
      <c r="I277" t="s">
        <v>15</v>
      </c>
      <c r="J277" t="s">
        <v>15</v>
      </c>
      <c r="K277" t="s">
        <v>15</v>
      </c>
      <c r="L277" t="s">
        <v>16</v>
      </c>
      <c r="M277" t="s">
        <v>17</v>
      </c>
    </row>
    <row r="278" spans="1:13" x14ac:dyDescent="0.3">
      <c r="A278">
        <v>150.97</v>
      </c>
      <c r="B278">
        <v>150.97</v>
      </c>
      <c r="C278">
        <v>150.97</v>
      </c>
      <c r="D278">
        <v>150.97</v>
      </c>
      <c r="E278">
        <v>150.97</v>
      </c>
      <c r="F278">
        <v>150.97</v>
      </c>
      <c r="G278">
        <v>150.97</v>
      </c>
      <c r="H278">
        <v>150.97</v>
      </c>
      <c r="I278">
        <v>150.97</v>
      </c>
      <c r="J278">
        <v>150.97</v>
      </c>
      <c r="K278">
        <v>150.97</v>
      </c>
    </row>
    <row r="279" spans="1:13" x14ac:dyDescent="0.3">
      <c r="A279">
        <v>0.66</v>
      </c>
      <c r="B279">
        <v>0.66</v>
      </c>
      <c r="C279">
        <v>0.66</v>
      </c>
      <c r="D279">
        <v>0.66</v>
      </c>
      <c r="E279">
        <v>0.66</v>
      </c>
      <c r="F279">
        <v>0.66</v>
      </c>
      <c r="G279">
        <v>0.66</v>
      </c>
      <c r="H279">
        <v>0.66</v>
      </c>
      <c r="I279">
        <v>0.66</v>
      </c>
      <c r="J279">
        <v>0.66</v>
      </c>
      <c r="K279">
        <v>0.66</v>
      </c>
    </row>
    <row r="280" spans="1:13" x14ac:dyDescent="0.3">
      <c r="A280">
        <v>200</v>
      </c>
      <c r="B280">
        <v>200</v>
      </c>
      <c r="C280">
        <v>200</v>
      </c>
      <c r="D280">
        <v>200</v>
      </c>
      <c r="E280">
        <v>200</v>
      </c>
      <c r="F280">
        <v>200</v>
      </c>
      <c r="G280">
        <v>200</v>
      </c>
      <c r="H280">
        <v>200</v>
      </c>
      <c r="I280">
        <v>200</v>
      </c>
      <c r="J280">
        <v>200</v>
      </c>
      <c r="K280">
        <v>200</v>
      </c>
    </row>
    <row r="281" spans="1:13" x14ac:dyDescent="0.3">
      <c r="A281">
        <v>146.28</v>
      </c>
      <c r="B281">
        <v>146.28</v>
      </c>
      <c r="C281">
        <v>146.28</v>
      </c>
      <c r="D281">
        <v>146.28</v>
      </c>
      <c r="E281">
        <v>146.28</v>
      </c>
      <c r="F281">
        <v>146.28</v>
      </c>
      <c r="G281">
        <v>146.28</v>
      </c>
      <c r="H281">
        <v>146.28</v>
      </c>
      <c r="I281">
        <v>146.28</v>
      </c>
      <c r="J281">
        <v>146.28</v>
      </c>
      <c r="K281">
        <v>146.28</v>
      </c>
    </row>
    <row r="282" spans="1:13" x14ac:dyDescent="0.3">
      <c r="A282">
        <v>151.66</v>
      </c>
      <c r="B282">
        <v>151.66</v>
      </c>
      <c r="C282">
        <v>151.66</v>
      </c>
      <c r="D282">
        <v>151.66</v>
      </c>
      <c r="E282">
        <v>151.66</v>
      </c>
      <c r="F282">
        <v>151.66</v>
      </c>
      <c r="G282">
        <v>151.66</v>
      </c>
      <c r="H282">
        <v>151.66</v>
      </c>
      <c r="I282">
        <v>151.66</v>
      </c>
      <c r="J282">
        <v>151.66</v>
      </c>
      <c r="K282">
        <v>151.66</v>
      </c>
    </row>
    <row r="283" spans="1:13" x14ac:dyDescent="0.3">
      <c r="A283">
        <v>100</v>
      </c>
      <c r="B283">
        <v>100</v>
      </c>
      <c r="C283">
        <v>100</v>
      </c>
      <c r="D283">
        <v>100</v>
      </c>
      <c r="E283">
        <v>100</v>
      </c>
      <c r="F283">
        <v>100</v>
      </c>
      <c r="G283">
        <v>100</v>
      </c>
      <c r="H283">
        <v>100</v>
      </c>
      <c r="I283">
        <v>100</v>
      </c>
      <c r="J283">
        <v>100</v>
      </c>
      <c r="K283">
        <v>100</v>
      </c>
    </row>
    <row r="284" spans="1:13" x14ac:dyDescent="0.3">
      <c r="A284" t="s">
        <v>39</v>
      </c>
      <c r="B284" t="s">
        <v>39</v>
      </c>
      <c r="C284" t="s">
        <v>39</v>
      </c>
      <c r="D284" t="s">
        <v>39</v>
      </c>
      <c r="E284" t="s">
        <v>39</v>
      </c>
      <c r="F284" t="s">
        <v>39</v>
      </c>
      <c r="G284" t="s">
        <v>39</v>
      </c>
      <c r="H284" t="s">
        <v>39</v>
      </c>
      <c r="I284" t="s">
        <v>39</v>
      </c>
      <c r="J284" t="s">
        <v>39</v>
      </c>
      <c r="K284" t="s">
        <v>39</v>
      </c>
    </row>
    <row r="285" spans="1:13" x14ac:dyDescent="0.3">
      <c r="A285">
        <v>628744</v>
      </c>
      <c r="B285">
        <v>628744</v>
      </c>
      <c r="C285">
        <v>628744</v>
      </c>
      <c r="D285">
        <v>628744</v>
      </c>
      <c r="E285">
        <v>628744</v>
      </c>
      <c r="F285">
        <v>628744</v>
      </c>
      <c r="G285">
        <v>628744</v>
      </c>
      <c r="H285">
        <v>628744</v>
      </c>
      <c r="I285">
        <v>628744</v>
      </c>
      <c r="J285">
        <v>628744</v>
      </c>
      <c r="K285">
        <v>628744</v>
      </c>
    </row>
    <row r="286" spans="1:13" x14ac:dyDescent="0.3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1:13" x14ac:dyDescent="0.3">
      <c r="A287" t="s">
        <v>19</v>
      </c>
      <c r="B287" t="s">
        <v>19</v>
      </c>
      <c r="C287" t="s">
        <v>19</v>
      </c>
      <c r="D287" t="s">
        <v>19</v>
      </c>
      <c r="E287" t="s">
        <v>19</v>
      </c>
      <c r="F287" t="s">
        <v>19</v>
      </c>
      <c r="G287" t="s">
        <v>19</v>
      </c>
      <c r="H287" t="s">
        <v>19</v>
      </c>
      <c r="I287" t="s">
        <v>19</v>
      </c>
      <c r="J287" t="s">
        <v>19</v>
      </c>
      <c r="K287" t="s">
        <v>19</v>
      </c>
    </row>
    <row r="288" spans="1:13" x14ac:dyDescent="0.3">
      <c r="A288" t="s">
        <v>20</v>
      </c>
      <c r="B288" t="s">
        <v>20</v>
      </c>
      <c r="C288" t="s">
        <v>20</v>
      </c>
      <c r="D288" t="s">
        <v>20</v>
      </c>
      <c r="E288" t="s">
        <v>20</v>
      </c>
      <c r="F288" t="s">
        <v>20</v>
      </c>
      <c r="G288" t="s">
        <v>20</v>
      </c>
      <c r="H288" t="s">
        <v>20</v>
      </c>
      <c r="I288" t="s">
        <v>20</v>
      </c>
      <c r="J288" t="s">
        <v>20</v>
      </c>
      <c r="K288" t="s">
        <v>20</v>
      </c>
    </row>
    <row r="289" spans="1:13" x14ac:dyDescent="0.3">
      <c r="A289" t="s">
        <v>15</v>
      </c>
      <c r="B289" t="s">
        <v>15</v>
      </c>
      <c r="C289" t="s">
        <v>15</v>
      </c>
      <c r="D289" t="s">
        <v>15</v>
      </c>
      <c r="E289" t="s">
        <v>15</v>
      </c>
      <c r="F289" t="s">
        <v>15</v>
      </c>
      <c r="G289" t="s">
        <v>15</v>
      </c>
      <c r="H289" t="s">
        <v>15</v>
      </c>
      <c r="I289" t="s">
        <v>15</v>
      </c>
      <c r="J289" t="s">
        <v>15</v>
      </c>
      <c r="K289" t="s">
        <v>15</v>
      </c>
      <c r="L289" t="s">
        <v>16</v>
      </c>
      <c r="M289" t="s">
        <v>17</v>
      </c>
    </row>
    <row r="290" spans="1:13" x14ac:dyDescent="0.3">
      <c r="A290">
        <v>79.819999999999993</v>
      </c>
      <c r="B290">
        <v>79.819999999999993</v>
      </c>
      <c r="C290">
        <v>79.819999999999993</v>
      </c>
      <c r="D290">
        <v>79.819999999999993</v>
      </c>
      <c r="E290">
        <v>79.819999999999993</v>
      </c>
      <c r="F290">
        <v>79.819999999999993</v>
      </c>
      <c r="G290">
        <v>79.819999999999993</v>
      </c>
      <c r="H290">
        <v>79.819999999999993</v>
      </c>
      <c r="I290">
        <v>79.819999999999993</v>
      </c>
      <c r="J290">
        <v>79.819999999999993</v>
      </c>
      <c r="K290">
        <v>79.819999999999993</v>
      </c>
    </row>
    <row r="291" spans="1:13" x14ac:dyDescent="0.3">
      <c r="A291">
        <v>-0.34</v>
      </c>
      <c r="B291">
        <v>-0.34</v>
      </c>
      <c r="C291">
        <v>-0.34</v>
      </c>
      <c r="D291">
        <v>-0.34</v>
      </c>
      <c r="E291">
        <v>-0.34</v>
      </c>
      <c r="F291">
        <v>-0.34</v>
      </c>
      <c r="G291">
        <v>-0.34</v>
      </c>
      <c r="H291">
        <v>-0.34</v>
      </c>
      <c r="I291">
        <v>-0.34</v>
      </c>
      <c r="J291">
        <v>-0.34</v>
      </c>
      <c r="K291">
        <v>-0.34</v>
      </c>
    </row>
    <row r="292" spans="1:13" x14ac:dyDescent="0.3">
      <c r="A292">
        <v>100</v>
      </c>
      <c r="B292">
        <v>100</v>
      </c>
      <c r="C292">
        <v>100</v>
      </c>
      <c r="D292">
        <v>100</v>
      </c>
      <c r="E292">
        <v>100</v>
      </c>
      <c r="F292">
        <v>100</v>
      </c>
      <c r="G292">
        <v>100</v>
      </c>
      <c r="H292">
        <v>100</v>
      </c>
      <c r="I292">
        <v>100</v>
      </c>
      <c r="J292">
        <v>100</v>
      </c>
      <c r="K292">
        <v>100</v>
      </c>
    </row>
    <row r="293" spans="1:13" x14ac:dyDescent="0.3">
      <c r="A293">
        <v>79.849999999999994</v>
      </c>
      <c r="B293">
        <v>79.849999999999994</v>
      </c>
      <c r="C293">
        <v>79.849999999999994</v>
      </c>
      <c r="D293">
        <v>79.849999999999994</v>
      </c>
      <c r="E293">
        <v>79.849999999999994</v>
      </c>
      <c r="F293">
        <v>79.849999999999994</v>
      </c>
      <c r="G293">
        <v>79.849999999999994</v>
      </c>
      <c r="H293">
        <v>79.849999999999994</v>
      </c>
      <c r="I293">
        <v>79.849999999999994</v>
      </c>
      <c r="J293">
        <v>79.849999999999994</v>
      </c>
      <c r="K293">
        <v>79.849999999999994</v>
      </c>
    </row>
    <row r="294" spans="1:13" x14ac:dyDescent="0.3">
      <c r="A294">
        <v>80.73</v>
      </c>
      <c r="B294">
        <v>80.73</v>
      </c>
      <c r="C294">
        <v>80.73</v>
      </c>
      <c r="D294">
        <v>80.73</v>
      </c>
      <c r="E294">
        <v>80.73</v>
      </c>
      <c r="F294">
        <v>80.73</v>
      </c>
      <c r="G294">
        <v>80.73</v>
      </c>
      <c r="H294">
        <v>80.73</v>
      </c>
      <c r="I294">
        <v>80.73</v>
      </c>
      <c r="J294">
        <v>80.73</v>
      </c>
      <c r="K294">
        <v>80.73</v>
      </c>
    </row>
    <row r="295" spans="1:13" x14ac:dyDescent="0.3">
      <c r="A295">
        <v>100</v>
      </c>
      <c r="B295">
        <v>100</v>
      </c>
      <c r="C295">
        <v>100</v>
      </c>
      <c r="D295">
        <v>100</v>
      </c>
      <c r="E295">
        <v>100</v>
      </c>
      <c r="F295">
        <v>100</v>
      </c>
      <c r="G295">
        <v>100</v>
      </c>
      <c r="H295">
        <v>100</v>
      </c>
      <c r="I295">
        <v>100</v>
      </c>
      <c r="J295">
        <v>100</v>
      </c>
      <c r="K295">
        <v>100</v>
      </c>
    </row>
    <row r="296" spans="1:13" x14ac:dyDescent="0.3">
      <c r="A296" t="s">
        <v>27</v>
      </c>
      <c r="B296" t="s">
        <v>27</v>
      </c>
      <c r="C296" t="s">
        <v>27</v>
      </c>
      <c r="D296" t="s">
        <v>27</v>
      </c>
      <c r="E296" t="s">
        <v>27</v>
      </c>
      <c r="F296" t="s">
        <v>27</v>
      </c>
      <c r="G296" t="s">
        <v>27</v>
      </c>
      <c r="H296" t="s">
        <v>27</v>
      </c>
      <c r="I296" t="s">
        <v>27</v>
      </c>
      <c r="J296" t="s">
        <v>27</v>
      </c>
      <c r="K296" t="s">
        <v>27</v>
      </c>
    </row>
    <row r="297" spans="1:13" x14ac:dyDescent="0.3">
      <c r="A297">
        <v>927964</v>
      </c>
      <c r="B297">
        <v>927964</v>
      </c>
      <c r="C297">
        <v>927964</v>
      </c>
      <c r="D297">
        <v>927964</v>
      </c>
      <c r="E297">
        <v>927964</v>
      </c>
      <c r="F297">
        <v>927964</v>
      </c>
      <c r="G297">
        <v>927964</v>
      </c>
      <c r="H297">
        <v>927964</v>
      </c>
      <c r="I297">
        <v>927964</v>
      </c>
      <c r="J297">
        <v>927964</v>
      </c>
      <c r="K297">
        <v>927964</v>
      </c>
    </row>
    <row r="298" spans="1:13" x14ac:dyDescent="0.3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1:13" x14ac:dyDescent="0.3">
      <c r="A299" t="s">
        <v>19</v>
      </c>
      <c r="B299" t="s">
        <v>19</v>
      </c>
      <c r="C299" t="s">
        <v>19</v>
      </c>
      <c r="D299" t="s">
        <v>19</v>
      </c>
      <c r="E299" t="s">
        <v>19</v>
      </c>
      <c r="F299" t="s">
        <v>19</v>
      </c>
      <c r="G299" t="s">
        <v>19</v>
      </c>
      <c r="H299" t="s">
        <v>19</v>
      </c>
      <c r="I299" t="s">
        <v>19</v>
      </c>
      <c r="J299" t="s">
        <v>19</v>
      </c>
      <c r="K299" t="s">
        <v>19</v>
      </c>
    </row>
    <row r="300" spans="1:13" x14ac:dyDescent="0.3">
      <c r="A300" t="s">
        <v>20</v>
      </c>
      <c r="B300" t="s">
        <v>20</v>
      </c>
      <c r="C300" t="s">
        <v>20</v>
      </c>
      <c r="D300" t="s">
        <v>20</v>
      </c>
      <c r="E300" t="s">
        <v>20</v>
      </c>
      <c r="F300" t="s">
        <v>20</v>
      </c>
      <c r="G300" t="s">
        <v>20</v>
      </c>
      <c r="H300" t="s">
        <v>20</v>
      </c>
      <c r="I300" t="s">
        <v>20</v>
      </c>
      <c r="J300" t="s">
        <v>20</v>
      </c>
      <c r="K300" t="s">
        <v>20</v>
      </c>
    </row>
    <row r="301" spans="1:13" x14ac:dyDescent="0.3">
      <c r="A301" t="s">
        <v>15</v>
      </c>
      <c r="B301" t="s">
        <v>15</v>
      </c>
      <c r="C301" t="s">
        <v>15</v>
      </c>
      <c r="D301" t="s">
        <v>15</v>
      </c>
      <c r="E301" t="s">
        <v>15</v>
      </c>
      <c r="F301" t="s">
        <v>15</v>
      </c>
      <c r="G301" t="s">
        <v>15</v>
      </c>
      <c r="H301" t="s">
        <v>15</v>
      </c>
      <c r="I301" t="s">
        <v>15</v>
      </c>
      <c r="J301" t="s">
        <v>15</v>
      </c>
      <c r="K301" t="s">
        <v>15</v>
      </c>
      <c r="L301" t="s">
        <v>16</v>
      </c>
      <c r="M301" t="s">
        <v>17</v>
      </c>
    </row>
    <row r="302" spans="1:13" x14ac:dyDescent="0.3">
      <c r="A302">
        <v>617.65</v>
      </c>
      <c r="B302">
        <v>617.65</v>
      </c>
      <c r="C302">
        <v>617.65</v>
      </c>
      <c r="D302">
        <v>617.65</v>
      </c>
      <c r="E302">
        <v>617.65</v>
      </c>
      <c r="F302">
        <v>617.65</v>
      </c>
      <c r="G302">
        <v>617.65</v>
      </c>
      <c r="H302">
        <v>617.65</v>
      </c>
      <c r="I302">
        <v>617.65</v>
      </c>
      <c r="J302">
        <v>617.65</v>
      </c>
      <c r="K302">
        <v>617.65</v>
      </c>
    </row>
    <row r="303" spans="1:13" x14ac:dyDescent="0.3">
      <c r="A303">
        <v>-0.35</v>
      </c>
      <c r="B303">
        <v>-0.35</v>
      </c>
      <c r="C303">
        <v>-0.35</v>
      </c>
      <c r="D303">
        <v>-0.35</v>
      </c>
      <c r="E303">
        <v>-0.35</v>
      </c>
      <c r="F303">
        <v>-0.35</v>
      </c>
      <c r="G303">
        <v>-0.35</v>
      </c>
      <c r="H303">
        <v>-0.35</v>
      </c>
      <c r="I303">
        <v>-0.35</v>
      </c>
      <c r="J303">
        <v>-0.35</v>
      </c>
      <c r="K303">
        <v>-0.35</v>
      </c>
    </row>
    <row r="304" spans="1:13" x14ac:dyDescent="0.3">
      <c r="A304">
        <v>100</v>
      </c>
      <c r="B304">
        <v>100</v>
      </c>
      <c r="C304">
        <v>100</v>
      </c>
      <c r="D304">
        <v>100</v>
      </c>
      <c r="E304">
        <v>100</v>
      </c>
      <c r="F304">
        <v>100</v>
      </c>
      <c r="G304">
        <v>100</v>
      </c>
      <c r="H304">
        <v>100</v>
      </c>
      <c r="I304">
        <v>100</v>
      </c>
      <c r="J304">
        <v>100</v>
      </c>
      <c r="K304">
        <v>100</v>
      </c>
    </row>
    <row r="305" spans="1:13" x14ac:dyDescent="0.3">
      <c r="A305">
        <v>599</v>
      </c>
      <c r="B305">
        <v>599</v>
      </c>
      <c r="C305">
        <v>599</v>
      </c>
      <c r="D305">
        <v>599</v>
      </c>
      <c r="E305">
        <v>599</v>
      </c>
      <c r="F305">
        <v>599</v>
      </c>
      <c r="G305">
        <v>599</v>
      </c>
      <c r="H305">
        <v>599</v>
      </c>
      <c r="I305">
        <v>599</v>
      </c>
      <c r="J305">
        <v>599</v>
      </c>
      <c r="K305">
        <v>599</v>
      </c>
    </row>
    <row r="306" spans="1:13" x14ac:dyDescent="0.3">
      <c r="A306">
        <v>673.99</v>
      </c>
      <c r="B306">
        <v>673.99</v>
      </c>
      <c r="C306">
        <v>673.99</v>
      </c>
      <c r="D306">
        <v>673.99</v>
      </c>
      <c r="E306">
        <v>673.99</v>
      </c>
      <c r="F306">
        <v>673.99</v>
      </c>
      <c r="G306">
        <v>673.99</v>
      </c>
      <c r="H306">
        <v>673.99</v>
      </c>
      <c r="I306">
        <v>673.99</v>
      </c>
      <c r="J306">
        <v>673.99</v>
      </c>
      <c r="K306">
        <v>673.99</v>
      </c>
    </row>
    <row r="307" spans="1:13" x14ac:dyDescent="0.3">
      <c r="A307">
        <v>100</v>
      </c>
      <c r="B307">
        <v>100</v>
      </c>
      <c r="C307">
        <v>100</v>
      </c>
      <c r="D307">
        <v>100</v>
      </c>
      <c r="E307">
        <v>100</v>
      </c>
      <c r="F307">
        <v>100</v>
      </c>
      <c r="G307">
        <v>100</v>
      </c>
      <c r="H307">
        <v>100</v>
      </c>
      <c r="I307">
        <v>100</v>
      </c>
      <c r="J307">
        <v>100</v>
      </c>
      <c r="K307">
        <v>100</v>
      </c>
    </row>
    <row r="308" spans="1:13" x14ac:dyDescent="0.3">
      <c r="A308" t="s">
        <v>40</v>
      </c>
      <c r="B308" t="s">
        <v>40</v>
      </c>
      <c r="C308" t="s">
        <v>40</v>
      </c>
      <c r="D308" t="s">
        <v>40</v>
      </c>
      <c r="E308" t="s">
        <v>40</v>
      </c>
      <c r="F308" t="s">
        <v>40</v>
      </c>
      <c r="G308" t="s">
        <v>40</v>
      </c>
      <c r="H308" t="s">
        <v>40</v>
      </c>
      <c r="I308" t="s">
        <v>40</v>
      </c>
      <c r="J308" t="s">
        <v>40</v>
      </c>
      <c r="K308" t="s">
        <v>40</v>
      </c>
    </row>
    <row r="309" spans="1:13" x14ac:dyDescent="0.3">
      <c r="A309">
        <v>732402</v>
      </c>
      <c r="B309">
        <v>732402</v>
      </c>
      <c r="C309">
        <v>732402</v>
      </c>
      <c r="D309">
        <v>732402</v>
      </c>
      <c r="E309">
        <v>732402</v>
      </c>
      <c r="F309">
        <v>732402</v>
      </c>
      <c r="G309">
        <v>732402</v>
      </c>
      <c r="H309">
        <v>732402</v>
      </c>
      <c r="I309">
        <v>732402</v>
      </c>
      <c r="J309">
        <v>732402</v>
      </c>
      <c r="K309">
        <v>732402</v>
      </c>
    </row>
    <row r="310" spans="1:13" x14ac:dyDescent="0.3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1:13" x14ac:dyDescent="0.3">
      <c r="A311" t="s">
        <v>19</v>
      </c>
      <c r="B311" t="s">
        <v>19</v>
      </c>
      <c r="C311" t="s">
        <v>19</v>
      </c>
      <c r="D311" t="s">
        <v>19</v>
      </c>
      <c r="E311" t="s">
        <v>19</v>
      </c>
      <c r="F311" t="s">
        <v>19</v>
      </c>
      <c r="G311" t="s">
        <v>19</v>
      </c>
      <c r="H311" t="s">
        <v>19</v>
      </c>
      <c r="I311" t="s">
        <v>19</v>
      </c>
      <c r="J311" t="s">
        <v>19</v>
      </c>
      <c r="K311" t="s">
        <v>19</v>
      </c>
    </row>
    <row r="312" spans="1:13" x14ac:dyDescent="0.3">
      <c r="A312" t="s">
        <v>20</v>
      </c>
      <c r="B312" t="s">
        <v>20</v>
      </c>
      <c r="C312" t="s">
        <v>20</v>
      </c>
      <c r="D312" t="s">
        <v>20</v>
      </c>
      <c r="E312" t="s">
        <v>20</v>
      </c>
      <c r="F312" t="s">
        <v>20</v>
      </c>
      <c r="G312" t="s">
        <v>20</v>
      </c>
      <c r="H312" t="s">
        <v>20</v>
      </c>
      <c r="I312" t="s">
        <v>20</v>
      </c>
      <c r="J312" t="s">
        <v>20</v>
      </c>
      <c r="K312" t="s">
        <v>20</v>
      </c>
    </row>
    <row r="313" spans="1:13" x14ac:dyDescent="0.3">
      <c r="A313" t="s">
        <v>15</v>
      </c>
      <c r="B313" t="s">
        <v>15</v>
      </c>
      <c r="C313" t="s">
        <v>15</v>
      </c>
      <c r="D313" t="s">
        <v>15</v>
      </c>
      <c r="E313" t="s">
        <v>15</v>
      </c>
      <c r="F313" t="s">
        <v>15</v>
      </c>
      <c r="G313" t="s">
        <v>15</v>
      </c>
      <c r="H313" t="s">
        <v>15</v>
      </c>
      <c r="I313" t="s">
        <v>15</v>
      </c>
      <c r="J313" t="s">
        <v>15</v>
      </c>
      <c r="K313" t="s">
        <v>15</v>
      </c>
      <c r="L313" t="s">
        <v>16</v>
      </c>
      <c r="M313" t="s">
        <v>17</v>
      </c>
    </row>
    <row r="314" spans="1:13" x14ac:dyDescent="0.3">
      <c r="A314">
        <v>118.26</v>
      </c>
      <c r="B314">
        <v>118.26</v>
      </c>
      <c r="C314">
        <v>118.26</v>
      </c>
      <c r="D314">
        <v>118.26</v>
      </c>
      <c r="E314">
        <v>118.26</v>
      </c>
      <c r="F314">
        <v>118.26</v>
      </c>
      <c r="G314">
        <v>118.26</v>
      </c>
      <c r="H314">
        <v>118.26</v>
      </c>
      <c r="I314">
        <v>118.26</v>
      </c>
      <c r="J314">
        <v>118.26</v>
      </c>
      <c r="K314">
        <v>118.26</v>
      </c>
    </row>
    <row r="315" spans="1:13" x14ac:dyDescent="0.3">
      <c r="A315">
        <v>-1.92</v>
      </c>
      <c r="B315">
        <v>-1.92</v>
      </c>
      <c r="C315">
        <v>-1.92</v>
      </c>
      <c r="D315">
        <v>-1.92</v>
      </c>
      <c r="E315">
        <v>-1.92</v>
      </c>
      <c r="F315">
        <v>-1.92</v>
      </c>
      <c r="G315">
        <v>-1.92</v>
      </c>
      <c r="H315">
        <v>-1.92</v>
      </c>
      <c r="I315">
        <v>-1.92</v>
      </c>
      <c r="J315">
        <v>-1.92</v>
      </c>
      <c r="K315">
        <v>-1.92</v>
      </c>
    </row>
    <row r="316" spans="1:13" x14ac:dyDescent="0.3">
      <c r="A316">
        <v>200</v>
      </c>
      <c r="B316">
        <v>200</v>
      </c>
      <c r="C316">
        <v>200</v>
      </c>
      <c r="D316">
        <v>200</v>
      </c>
      <c r="E316">
        <v>200</v>
      </c>
      <c r="F316">
        <v>200</v>
      </c>
      <c r="G316">
        <v>200</v>
      </c>
      <c r="H316">
        <v>200</v>
      </c>
      <c r="I316">
        <v>200</v>
      </c>
      <c r="J316">
        <v>200</v>
      </c>
      <c r="K316">
        <v>200</v>
      </c>
    </row>
    <row r="317" spans="1:13" x14ac:dyDescent="0.3">
      <c r="A317">
        <v>117.81</v>
      </c>
      <c r="B317">
        <v>117.81</v>
      </c>
      <c r="C317">
        <v>117.81</v>
      </c>
      <c r="D317">
        <v>117.81</v>
      </c>
      <c r="E317">
        <v>117.81</v>
      </c>
      <c r="F317">
        <v>117.81</v>
      </c>
      <c r="G317">
        <v>117.81</v>
      </c>
      <c r="H317">
        <v>117.81</v>
      </c>
      <c r="I317">
        <v>117.81</v>
      </c>
      <c r="J317">
        <v>117.81</v>
      </c>
      <c r="K317">
        <v>117.81</v>
      </c>
    </row>
    <row r="318" spans="1:13" x14ac:dyDescent="0.3">
      <c r="A318">
        <v>118.3</v>
      </c>
      <c r="B318">
        <v>118.3</v>
      </c>
      <c r="C318">
        <v>118.3</v>
      </c>
      <c r="D318">
        <v>118.3</v>
      </c>
      <c r="E318">
        <v>118.3</v>
      </c>
      <c r="F318">
        <v>118.3</v>
      </c>
      <c r="G318">
        <v>118.3</v>
      </c>
      <c r="H318">
        <v>118.3</v>
      </c>
      <c r="I318">
        <v>118.3</v>
      </c>
      <c r="J318">
        <v>118.3</v>
      </c>
      <c r="K318">
        <v>118.3</v>
      </c>
    </row>
    <row r="319" spans="1:13" x14ac:dyDescent="0.3">
      <c r="A319">
        <v>100</v>
      </c>
      <c r="B319">
        <v>100</v>
      </c>
      <c r="C319">
        <v>100</v>
      </c>
      <c r="D319">
        <v>100</v>
      </c>
      <c r="E319">
        <v>100</v>
      </c>
      <c r="F319">
        <v>100</v>
      </c>
      <c r="G319">
        <v>100</v>
      </c>
      <c r="H319">
        <v>100</v>
      </c>
      <c r="I319">
        <v>100</v>
      </c>
      <c r="J319">
        <v>100</v>
      </c>
      <c r="K319">
        <v>100</v>
      </c>
    </row>
    <row r="320" spans="1:13" x14ac:dyDescent="0.3">
      <c r="A320" t="s">
        <v>41</v>
      </c>
      <c r="B320" t="s">
        <v>41</v>
      </c>
      <c r="C320" t="s">
        <v>41</v>
      </c>
      <c r="D320" t="s">
        <v>41</v>
      </c>
      <c r="E320" t="s">
        <v>41</v>
      </c>
      <c r="F320" t="s">
        <v>41</v>
      </c>
      <c r="G320" t="s">
        <v>41</v>
      </c>
      <c r="H320" t="s">
        <v>41</v>
      </c>
      <c r="I320" t="s">
        <v>41</v>
      </c>
      <c r="J320" t="s">
        <v>41</v>
      </c>
      <c r="K320" t="s">
        <v>41</v>
      </c>
    </row>
    <row r="321" spans="1:13" x14ac:dyDescent="0.3">
      <c r="A321">
        <v>2224619</v>
      </c>
      <c r="B321">
        <v>2224619</v>
      </c>
      <c r="C321">
        <v>2224619</v>
      </c>
      <c r="D321">
        <v>2224619</v>
      </c>
      <c r="E321">
        <v>2224619</v>
      </c>
      <c r="F321">
        <v>2224619</v>
      </c>
      <c r="G321">
        <v>2224619</v>
      </c>
      <c r="H321">
        <v>2224619</v>
      </c>
      <c r="I321">
        <v>2224619</v>
      </c>
      <c r="J321">
        <v>2224619</v>
      </c>
      <c r="K321">
        <v>2224619</v>
      </c>
    </row>
    <row r="322" spans="1:13" x14ac:dyDescent="0.3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1:13" x14ac:dyDescent="0.3">
      <c r="A323" t="s">
        <v>19</v>
      </c>
      <c r="B323" t="s">
        <v>19</v>
      </c>
      <c r="C323" t="s">
        <v>19</v>
      </c>
      <c r="D323" t="s">
        <v>19</v>
      </c>
      <c r="E323" t="s">
        <v>19</v>
      </c>
      <c r="F323" t="s">
        <v>19</v>
      </c>
      <c r="G323" t="s">
        <v>19</v>
      </c>
      <c r="H323" t="s">
        <v>19</v>
      </c>
      <c r="I323" t="s">
        <v>19</v>
      </c>
      <c r="J323" t="s">
        <v>19</v>
      </c>
      <c r="K323" t="s">
        <v>19</v>
      </c>
    </row>
    <row r="324" spans="1:13" x14ac:dyDescent="0.3">
      <c r="A324" t="s">
        <v>28</v>
      </c>
      <c r="B324" t="s">
        <v>28</v>
      </c>
      <c r="C324" t="s">
        <v>28</v>
      </c>
      <c r="D324" t="s">
        <v>28</v>
      </c>
      <c r="E324" t="s">
        <v>28</v>
      </c>
      <c r="F324" t="s">
        <v>28</v>
      </c>
      <c r="G324" t="s">
        <v>28</v>
      </c>
      <c r="H324" t="s">
        <v>28</v>
      </c>
      <c r="I324" t="s">
        <v>28</v>
      </c>
      <c r="J324" t="s">
        <v>28</v>
      </c>
      <c r="K324" t="s">
        <v>28</v>
      </c>
    </row>
    <row r="325" spans="1:13" x14ac:dyDescent="0.3">
      <c r="A325" t="s">
        <v>15</v>
      </c>
      <c r="B325" t="s">
        <v>15</v>
      </c>
      <c r="C325" t="s">
        <v>15</v>
      </c>
      <c r="D325" t="s">
        <v>15</v>
      </c>
      <c r="E325" t="s">
        <v>15</v>
      </c>
      <c r="F325" t="s">
        <v>15</v>
      </c>
      <c r="G325" t="s">
        <v>15</v>
      </c>
      <c r="H325" t="s">
        <v>15</v>
      </c>
      <c r="I325" t="s">
        <v>15</v>
      </c>
      <c r="J325" t="s">
        <v>15</v>
      </c>
      <c r="K325" t="s">
        <v>15</v>
      </c>
      <c r="L325" t="s">
        <v>16</v>
      </c>
      <c r="M325" t="s">
        <v>17</v>
      </c>
    </row>
    <row r="326" spans="1:13" x14ac:dyDescent="0.3">
      <c r="A326">
        <v>344.98</v>
      </c>
      <c r="B326">
        <v>344.98</v>
      </c>
      <c r="C326">
        <v>344.98</v>
      </c>
      <c r="D326">
        <v>344.98</v>
      </c>
      <c r="E326">
        <v>344.98</v>
      </c>
      <c r="F326">
        <v>344.98</v>
      </c>
      <c r="G326">
        <v>344.98</v>
      </c>
      <c r="H326">
        <v>344.98</v>
      </c>
      <c r="I326">
        <v>344.98</v>
      </c>
      <c r="J326">
        <v>344.98</v>
      </c>
      <c r="K326">
        <v>344.98</v>
      </c>
    </row>
    <row r="327" spans="1:13" x14ac:dyDescent="0.3">
      <c r="A327">
        <v>1.99</v>
      </c>
      <c r="B327">
        <v>1.99</v>
      </c>
      <c r="C327">
        <v>1.99</v>
      </c>
      <c r="D327">
        <v>1.99</v>
      </c>
      <c r="E327">
        <v>1.99</v>
      </c>
      <c r="F327">
        <v>1.99</v>
      </c>
      <c r="G327">
        <v>1.99</v>
      </c>
      <c r="H327">
        <v>1.99</v>
      </c>
      <c r="I327">
        <v>1.99</v>
      </c>
      <c r="J327">
        <v>1.99</v>
      </c>
      <c r="K327">
        <v>1.99</v>
      </c>
    </row>
    <row r="328" spans="1:13" x14ac:dyDescent="0.3">
      <c r="A328">
        <v>100</v>
      </c>
      <c r="B328">
        <v>100</v>
      </c>
      <c r="C328">
        <v>100</v>
      </c>
      <c r="D328">
        <v>100</v>
      </c>
      <c r="E328">
        <v>100</v>
      </c>
      <c r="F328">
        <v>100</v>
      </c>
      <c r="G328">
        <v>100</v>
      </c>
      <c r="H328">
        <v>100</v>
      </c>
      <c r="I328">
        <v>100</v>
      </c>
      <c r="J328">
        <v>100</v>
      </c>
      <c r="K328">
        <v>100</v>
      </c>
    </row>
    <row r="329" spans="1:13" x14ac:dyDescent="0.3">
      <c r="A329">
        <v>335.74</v>
      </c>
      <c r="B329">
        <v>335.74</v>
      </c>
      <c r="C329">
        <v>335.74</v>
      </c>
      <c r="D329">
        <v>335.74</v>
      </c>
      <c r="E329">
        <v>335.74</v>
      </c>
      <c r="F329">
        <v>335.74</v>
      </c>
      <c r="G329">
        <v>335.74</v>
      </c>
      <c r="H329">
        <v>335.74</v>
      </c>
      <c r="I329">
        <v>335.74</v>
      </c>
      <c r="J329">
        <v>335.74</v>
      </c>
      <c r="K329">
        <v>335.74</v>
      </c>
    </row>
    <row r="330" spans="1:13" x14ac:dyDescent="0.3">
      <c r="A330">
        <v>354.47</v>
      </c>
      <c r="B330">
        <v>354.47</v>
      </c>
      <c r="C330">
        <v>354.47</v>
      </c>
      <c r="D330">
        <v>354.47</v>
      </c>
      <c r="E330">
        <v>354.47</v>
      </c>
      <c r="F330">
        <v>354.47</v>
      </c>
      <c r="G330">
        <v>354.47</v>
      </c>
      <c r="H330">
        <v>354.47</v>
      </c>
      <c r="I330">
        <v>354.47</v>
      </c>
      <c r="J330">
        <v>354.47</v>
      </c>
      <c r="K330">
        <v>354.47</v>
      </c>
    </row>
    <row r="331" spans="1:13" x14ac:dyDescent="0.3">
      <c r="A331">
        <v>100</v>
      </c>
      <c r="B331">
        <v>100</v>
      </c>
      <c r="C331">
        <v>100</v>
      </c>
      <c r="D331">
        <v>100</v>
      </c>
      <c r="E331">
        <v>100</v>
      </c>
      <c r="F331">
        <v>100</v>
      </c>
      <c r="G331">
        <v>100</v>
      </c>
      <c r="H331">
        <v>100</v>
      </c>
      <c r="I331">
        <v>100</v>
      </c>
      <c r="J331">
        <v>100</v>
      </c>
      <c r="K331">
        <v>100</v>
      </c>
    </row>
    <row r="332" spans="1:13" x14ac:dyDescent="0.3">
      <c r="A332" t="s">
        <v>42</v>
      </c>
      <c r="B332" t="s">
        <v>42</v>
      </c>
      <c r="C332" t="s">
        <v>42</v>
      </c>
      <c r="D332" t="s">
        <v>42</v>
      </c>
      <c r="E332" t="s">
        <v>42</v>
      </c>
      <c r="F332" t="s">
        <v>42</v>
      </c>
      <c r="G332" t="s">
        <v>42</v>
      </c>
      <c r="H332" t="s">
        <v>42</v>
      </c>
      <c r="I332" t="s">
        <v>42</v>
      </c>
      <c r="J332" t="s">
        <v>42</v>
      </c>
      <c r="K332" t="s">
        <v>42</v>
      </c>
    </row>
    <row r="333" spans="1:13" x14ac:dyDescent="0.3">
      <c r="A333">
        <v>419426</v>
      </c>
      <c r="B333">
        <v>419426</v>
      </c>
      <c r="C333">
        <v>419426</v>
      </c>
      <c r="D333">
        <v>419426</v>
      </c>
      <c r="E333">
        <v>419426</v>
      </c>
      <c r="F333">
        <v>419426</v>
      </c>
      <c r="G333">
        <v>419426</v>
      </c>
      <c r="H333">
        <v>419426</v>
      </c>
      <c r="I333">
        <v>419426</v>
      </c>
      <c r="J333">
        <v>419426</v>
      </c>
      <c r="K333">
        <v>419426</v>
      </c>
    </row>
    <row r="334" spans="1:13" x14ac:dyDescent="0.3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1:13" x14ac:dyDescent="0.3">
      <c r="A335" t="s">
        <v>19</v>
      </c>
      <c r="B335" t="s">
        <v>19</v>
      </c>
      <c r="C335" t="s">
        <v>19</v>
      </c>
      <c r="D335" t="s">
        <v>19</v>
      </c>
      <c r="E335" t="s">
        <v>19</v>
      </c>
      <c r="F335" t="s">
        <v>19</v>
      </c>
      <c r="G335" t="s">
        <v>19</v>
      </c>
      <c r="H335" t="s">
        <v>19</v>
      </c>
      <c r="I335" t="s">
        <v>19</v>
      </c>
      <c r="J335" t="s">
        <v>19</v>
      </c>
      <c r="K335" t="s">
        <v>19</v>
      </c>
    </row>
    <row r="336" spans="1:13" x14ac:dyDescent="0.3">
      <c r="A336" t="s">
        <v>20</v>
      </c>
      <c r="B336" t="s">
        <v>20</v>
      </c>
      <c r="C336" t="s">
        <v>20</v>
      </c>
      <c r="D336" t="s">
        <v>20</v>
      </c>
      <c r="E336" t="s">
        <v>20</v>
      </c>
      <c r="F336" t="s">
        <v>20</v>
      </c>
      <c r="G336" t="s">
        <v>20</v>
      </c>
      <c r="H336" t="s">
        <v>20</v>
      </c>
      <c r="I336" t="s">
        <v>20</v>
      </c>
      <c r="J336" t="s">
        <v>20</v>
      </c>
      <c r="K336" t="s">
        <v>20</v>
      </c>
    </row>
    <row r="337" spans="1:13" x14ac:dyDescent="0.3">
      <c r="A337" t="s">
        <v>15</v>
      </c>
      <c r="B337" t="s">
        <v>15</v>
      </c>
      <c r="C337" t="s">
        <v>15</v>
      </c>
      <c r="D337" t="s">
        <v>15</v>
      </c>
      <c r="E337" t="s">
        <v>15</v>
      </c>
      <c r="F337" t="s">
        <v>15</v>
      </c>
      <c r="G337" t="s">
        <v>15</v>
      </c>
      <c r="H337" t="s">
        <v>15</v>
      </c>
      <c r="I337" t="s">
        <v>15</v>
      </c>
      <c r="J337" t="s">
        <v>15</v>
      </c>
      <c r="K337" t="s">
        <v>15</v>
      </c>
      <c r="L337" t="s">
        <v>16</v>
      </c>
      <c r="M337" t="s">
        <v>17</v>
      </c>
    </row>
    <row r="338" spans="1:13" x14ac:dyDescent="0.3">
      <c r="A338">
        <v>48.08</v>
      </c>
      <c r="B338">
        <v>48.08</v>
      </c>
      <c r="C338">
        <v>48.08</v>
      </c>
      <c r="D338">
        <v>48.08</v>
      </c>
      <c r="E338">
        <v>48.08</v>
      </c>
      <c r="F338">
        <v>48.08</v>
      </c>
      <c r="G338">
        <v>48.08</v>
      </c>
      <c r="H338">
        <v>48.08</v>
      </c>
      <c r="I338">
        <v>48.08</v>
      </c>
      <c r="J338">
        <v>48.08</v>
      </c>
      <c r="K338">
        <v>48.08</v>
      </c>
    </row>
    <row r="339" spans="1:13" x14ac:dyDescent="0.3">
      <c r="A339">
        <v>1.76</v>
      </c>
      <c r="B339">
        <v>1.76</v>
      </c>
      <c r="C339">
        <v>1.76</v>
      </c>
      <c r="D339">
        <v>1.76</v>
      </c>
      <c r="E339">
        <v>1.76</v>
      </c>
      <c r="F339">
        <v>1.76</v>
      </c>
      <c r="G339">
        <v>1.76</v>
      </c>
      <c r="H339">
        <v>1.76</v>
      </c>
      <c r="I339">
        <v>1.76</v>
      </c>
      <c r="J339">
        <v>1.76</v>
      </c>
      <c r="K339">
        <v>1.76</v>
      </c>
    </row>
    <row r="340" spans="1:13" x14ac:dyDescent="0.3">
      <c r="A340">
        <v>1000</v>
      </c>
      <c r="B340">
        <v>1000</v>
      </c>
      <c r="C340">
        <v>1000</v>
      </c>
      <c r="D340">
        <v>1000</v>
      </c>
      <c r="E340">
        <v>1000</v>
      </c>
      <c r="F340">
        <v>1000</v>
      </c>
      <c r="G340">
        <v>1000</v>
      </c>
      <c r="H340">
        <v>1000</v>
      </c>
      <c r="I340">
        <v>1000</v>
      </c>
      <c r="J340">
        <v>1000</v>
      </c>
      <c r="K340">
        <v>1000</v>
      </c>
    </row>
    <row r="341" spans="1:13" x14ac:dyDescent="0.3">
      <c r="A341">
        <v>48</v>
      </c>
      <c r="B341">
        <v>48</v>
      </c>
      <c r="C341">
        <v>48</v>
      </c>
      <c r="D341">
        <v>48</v>
      </c>
      <c r="E341">
        <v>48</v>
      </c>
      <c r="F341">
        <v>48</v>
      </c>
      <c r="G341">
        <v>48</v>
      </c>
      <c r="H341">
        <v>48</v>
      </c>
      <c r="I341">
        <v>48</v>
      </c>
      <c r="J341">
        <v>48</v>
      </c>
      <c r="K341">
        <v>48</v>
      </c>
    </row>
    <row r="342" spans="1:13" x14ac:dyDescent="0.3">
      <c r="A342">
        <v>48.12</v>
      </c>
      <c r="B342">
        <v>48.12</v>
      </c>
      <c r="C342">
        <v>48.12</v>
      </c>
      <c r="D342">
        <v>48.12</v>
      </c>
      <c r="E342">
        <v>48.12</v>
      </c>
      <c r="F342">
        <v>48.12</v>
      </c>
      <c r="G342">
        <v>48.12</v>
      </c>
      <c r="H342">
        <v>48.12</v>
      </c>
      <c r="I342">
        <v>48.12</v>
      </c>
      <c r="J342">
        <v>48.12</v>
      </c>
      <c r="K342">
        <v>48.12</v>
      </c>
    </row>
    <row r="343" spans="1:13" x14ac:dyDescent="0.3">
      <c r="A343">
        <v>200</v>
      </c>
      <c r="B343">
        <v>200</v>
      </c>
      <c r="C343">
        <v>200</v>
      </c>
      <c r="D343">
        <v>200</v>
      </c>
      <c r="E343">
        <v>200</v>
      </c>
      <c r="F343">
        <v>200</v>
      </c>
      <c r="G343">
        <v>200</v>
      </c>
      <c r="H343">
        <v>200</v>
      </c>
      <c r="I343">
        <v>200</v>
      </c>
      <c r="J343">
        <v>200</v>
      </c>
      <c r="K343">
        <v>200</v>
      </c>
    </row>
    <row r="344" spans="1:13" x14ac:dyDescent="0.3">
      <c r="A344" t="s">
        <v>36</v>
      </c>
      <c r="B344" t="s">
        <v>36</v>
      </c>
      <c r="C344" t="s">
        <v>36</v>
      </c>
      <c r="D344" t="s">
        <v>36</v>
      </c>
      <c r="E344" t="s">
        <v>36</v>
      </c>
      <c r="F344" t="s">
        <v>36</v>
      </c>
      <c r="G344" t="s">
        <v>36</v>
      </c>
      <c r="H344" t="s">
        <v>36</v>
      </c>
      <c r="I344" t="s">
        <v>36</v>
      </c>
      <c r="J344" t="s">
        <v>36</v>
      </c>
      <c r="K344" t="s">
        <v>36</v>
      </c>
    </row>
    <row r="345" spans="1:13" x14ac:dyDescent="0.3">
      <c r="A345">
        <v>25214131</v>
      </c>
      <c r="B345">
        <v>25214131</v>
      </c>
      <c r="C345">
        <v>25214131</v>
      </c>
      <c r="D345">
        <v>25214131</v>
      </c>
      <c r="E345">
        <v>25214131</v>
      </c>
      <c r="F345">
        <v>25214131</v>
      </c>
      <c r="G345">
        <v>25214131</v>
      </c>
      <c r="H345">
        <v>25214131</v>
      </c>
      <c r="I345">
        <v>25214131</v>
      </c>
      <c r="J345">
        <v>25214131</v>
      </c>
      <c r="K345">
        <v>25214131</v>
      </c>
    </row>
    <row r="346" spans="1:13" x14ac:dyDescent="0.3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1:13" x14ac:dyDescent="0.3">
      <c r="A347" t="s">
        <v>19</v>
      </c>
      <c r="B347" t="s">
        <v>19</v>
      </c>
      <c r="C347" t="s">
        <v>19</v>
      </c>
      <c r="D347" t="s">
        <v>19</v>
      </c>
      <c r="E347" t="s">
        <v>19</v>
      </c>
      <c r="F347" t="s">
        <v>19</v>
      </c>
      <c r="G347" t="s">
        <v>19</v>
      </c>
      <c r="H347" t="s">
        <v>19</v>
      </c>
      <c r="I347" t="s">
        <v>19</v>
      </c>
      <c r="J347" t="s">
        <v>19</v>
      </c>
      <c r="K347" t="s">
        <v>19</v>
      </c>
    </row>
    <row r="348" spans="1:13" x14ac:dyDescent="0.3">
      <c r="A348" t="s">
        <v>20</v>
      </c>
      <c r="B348" t="s">
        <v>20</v>
      </c>
      <c r="C348" t="s">
        <v>20</v>
      </c>
      <c r="D348" t="s">
        <v>20</v>
      </c>
      <c r="E348" t="s">
        <v>20</v>
      </c>
      <c r="F348" t="s">
        <v>20</v>
      </c>
      <c r="G348" t="s">
        <v>20</v>
      </c>
      <c r="H348" t="s">
        <v>20</v>
      </c>
      <c r="I348" t="s">
        <v>20</v>
      </c>
      <c r="J348" t="s">
        <v>20</v>
      </c>
      <c r="K348" t="s">
        <v>20</v>
      </c>
    </row>
    <row r="349" spans="1:13" x14ac:dyDescent="0.3">
      <c r="A349" t="s">
        <v>15</v>
      </c>
      <c r="B349" t="s">
        <v>15</v>
      </c>
      <c r="C349" t="s">
        <v>15</v>
      </c>
      <c r="D349" t="s">
        <v>15</v>
      </c>
      <c r="E349" t="s">
        <v>15</v>
      </c>
      <c r="F349" t="s">
        <v>15</v>
      </c>
      <c r="G349" t="s">
        <v>15</v>
      </c>
      <c r="H349" t="s">
        <v>15</v>
      </c>
      <c r="I349" t="s">
        <v>15</v>
      </c>
      <c r="J349" t="s">
        <v>15</v>
      </c>
      <c r="K349" t="s">
        <v>15</v>
      </c>
      <c r="L349" t="s">
        <v>16</v>
      </c>
      <c r="M349" t="s">
        <v>17</v>
      </c>
    </row>
    <row r="350" spans="1:13" x14ac:dyDescent="0.3">
      <c r="A350">
        <v>74.5</v>
      </c>
      <c r="B350">
        <v>74.5</v>
      </c>
      <c r="C350">
        <v>74.5</v>
      </c>
      <c r="D350">
        <v>74.5</v>
      </c>
      <c r="E350">
        <v>74.5</v>
      </c>
      <c r="F350">
        <v>74.5</v>
      </c>
      <c r="G350">
        <v>74.5</v>
      </c>
      <c r="H350">
        <v>74.5</v>
      </c>
      <c r="I350">
        <v>74.5</v>
      </c>
      <c r="J350">
        <v>74.5</v>
      </c>
      <c r="K350">
        <v>74.5</v>
      </c>
    </row>
    <row r="351" spans="1:13" x14ac:dyDescent="0.3">
      <c r="A351">
        <v>-0.25</v>
      </c>
      <c r="B351">
        <v>-0.25</v>
      </c>
      <c r="C351">
        <v>-0.25</v>
      </c>
      <c r="D351">
        <v>-0.25</v>
      </c>
      <c r="E351">
        <v>-0.25</v>
      </c>
      <c r="F351">
        <v>-0.25</v>
      </c>
      <c r="G351">
        <v>-0.25</v>
      </c>
      <c r="H351">
        <v>-0.25</v>
      </c>
      <c r="I351">
        <v>-0.25</v>
      </c>
      <c r="J351">
        <v>-0.25</v>
      </c>
      <c r="K351">
        <v>-0.25</v>
      </c>
    </row>
    <row r="352" spans="1:13" x14ac:dyDescent="0.3">
      <c r="A352">
        <v>200</v>
      </c>
      <c r="B352">
        <v>200</v>
      </c>
      <c r="C352">
        <v>200</v>
      </c>
      <c r="D352">
        <v>200</v>
      </c>
      <c r="E352">
        <v>200</v>
      </c>
      <c r="F352">
        <v>200</v>
      </c>
      <c r="G352">
        <v>200</v>
      </c>
      <c r="H352">
        <v>200</v>
      </c>
      <c r="I352">
        <v>200</v>
      </c>
      <c r="J352">
        <v>200</v>
      </c>
      <c r="K352">
        <v>200</v>
      </c>
    </row>
    <row r="353" spans="1:13" x14ac:dyDescent="0.3">
      <c r="A353">
        <v>74.5</v>
      </c>
      <c r="B353">
        <v>74.5</v>
      </c>
      <c r="C353">
        <v>74.5</v>
      </c>
      <c r="D353">
        <v>74.5</v>
      </c>
      <c r="E353">
        <v>74.5</v>
      </c>
      <c r="F353">
        <v>74.5</v>
      </c>
      <c r="G353">
        <v>74.5</v>
      </c>
      <c r="H353">
        <v>74.5</v>
      </c>
      <c r="I353">
        <v>74.5</v>
      </c>
      <c r="J353">
        <v>74.5</v>
      </c>
      <c r="K353">
        <v>74.5</v>
      </c>
    </row>
    <row r="354" spans="1:13" x14ac:dyDescent="0.3">
      <c r="A354">
        <v>75.52</v>
      </c>
      <c r="B354">
        <v>75.52</v>
      </c>
      <c r="C354">
        <v>75.52</v>
      </c>
      <c r="D354">
        <v>75.52</v>
      </c>
      <c r="E354">
        <v>75.52</v>
      </c>
      <c r="F354">
        <v>75.52</v>
      </c>
      <c r="G354">
        <v>75.52</v>
      </c>
      <c r="H354">
        <v>75.52</v>
      </c>
      <c r="I354">
        <v>75.52</v>
      </c>
      <c r="J354">
        <v>75.52</v>
      </c>
      <c r="K354">
        <v>75.52</v>
      </c>
    </row>
    <row r="355" spans="1:13" x14ac:dyDescent="0.3">
      <c r="A355">
        <v>100</v>
      </c>
      <c r="B355">
        <v>100</v>
      </c>
      <c r="C355">
        <v>100</v>
      </c>
      <c r="D355">
        <v>100</v>
      </c>
      <c r="E355">
        <v>100</v>
      </c>
      <c r="F355">
        <v>100</v>
      </c>
      <c r="G355">
        <v>100</v>
      </c>
      <c r="H355">
        <v>100</v>
      </c>
      <c r="I355">
        <v>100</v>
      </c>
      <c r="J355">
        <v>100</v>
      </c>
      <c r="K355">
        <v>100</v>
      </c>
    </row>
    <row r="356" spans="1:13" x14ac:dyDescent="0.3">
      <c r="A356" t="s">
        <v>43</v>
      </c>
      <c r="B356" t="s">
        <v>43</v>
      </c>
      <c r="C356" t="s">
        <v>43</v>
      </c>
      <c r="D356" t="s">
        <v>43</v>
      </c>
      <c r="E356" t="s">
        <v>43</v>
      </c>
      <c r="F356" t="s">
        <v>43</v>
      </c>
      <c r="G356" t="s">
        <v>43</v>
      </c>
      <c r="H356" t="s">
        <v>43</v>
      </c>
      <c r="I356" t="s">
        <v>43</v>
      </c>
      <c r="J356" t="s">
        <v>43</v>
      </c>
      <c r="K356" t="s">
        <v>43</v>
      </c>
    </row>
    <row r="357" spans="1:13" x14ac:dyDescent="0.3">
      <c r="A357">
        <v>4676091</v>
      </c>
      <c r="B357">
        <v>4676091</v>
      </c>
      <c r="C357">
        <v>4676091</v>
      </c>
      <c r="D357">
        <v>4676091</v>
      </c>
      <c r="E357">
        <v>4676091</v>
      </c>
      <c r="F357">
        <v>4676091</v>
      </c>
      <c r="G357">
        <v>4676091</v>
      </c>
      <c r="H357">
        <v>4676091</v>
      </c>
      <c r="I357">
        <v>4676091</v>
      </c>
      <c r="J357">
        <v>4676091</v>
      </c>
      <c r="K357">
        <v>4676091</v>
      </c>
    </row>
    <row r="358" spans="1:13" x14ac:dyDescent="0.3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1:13" x14ac:dyDescent="0.3">
      <c r="A359" t="s">
        <v>19</v>
      </c>
      <c r="B359" t="s">
        <v>19</v>
      </c>
      <c r="C359" t="s">
        <v>19</v>
      </c>
      <c r="D359" t="s">
        <v>19</v>
      </c>
      <c r="E359" t="s">
        <v>19</v>
      </c>
      <c r="F359" t="s">
        <v>19</v>
      </c>
      <c r="G359" t="s">
        <v>19</v>
      </c>
      <c r="H359" t="s">
        <v>19</v>
      </c>
      <c r="I359" t="s">
        <v>19</v>
      </c>
      <c r="J359" t="s">
        <v>19</v>
      </c>
      <c r="K359" t="s">
        <v>19</v>
      </c>
    </row>
    <row r="360" spans="1:13" x14ac:dyDescent="0.3">
      <c r="A360" t="s">
        <v>20</v>
      </c>
      <c r="B360" t="s">
        <v>20</v>
      </c>
      <c r="C360" t="s">
        <v>20</v>
      </c>
      <c r="D360" t="s">
        <v>20</v>
      </c>
      <c r="E360" t="s">
        <v>20</v>
      </c>
      <c r="F360" t="s">
        <v>20</v>
      </c>
      <c r="G360" t="s">
        <v>20</v>
      </c>
      <c r="H360" t="s">
        <v>20</v>
      </c>
      <c r="I360" t="s">
        <v>20</v>
      </c>
      <c r="J360" t="s">
        <v>20</v>
      </c>
      <c r="K360" t="s">
        <v>20</v>
      </c>
    </row>
    <row r="361" spans="1:13" x14ac:dyDescent="0.3">
      <c r="A361" t="s">
        <v>15</v>
      </c>
      <c r="B361" t="s">
        <v>15</v>
      </c>
      <c r="C361" t="s">
        <v>15</v>
      </c>
      <c r="D361" t="s">
        <v>15</v>
      </c>
      <c r="E361" t="s">
        <v>15</v>
      </c>
      <c r="F361" t="s">
        <v>15</v>
      </c>
      <c r="G361" t="s">
        <v>15</v>
      </c>
      <c r="H361" t="s">
        <v>15</v>
      </c>
      <c r="I361" t="s">
        <v>15</v>
      </c>
      <c r="J361" t="s">
        <v>15</v>
      </c>
      <c r="K361" t="s">
        <v>15</v>
      </c>
      <c r="L361" t="s">
        <v>16</v>
      </c>
      <c r="M361" t="s">
        <v>17</v>
      </c>
    </row>
    <row r="362" spans="1:13" x14ac:dyDescent="0.3">
      <c r="A362">
        <v>51.11</v>
      </c>
      <c r="B362">
        <v>51.11</v>
      </c>
      <c r="C362">
        <v>51.11</v>
      </c>
      <c r="D362">
        <v>51.11</v>
      </c>
      <c r="E362">
        <v>51.11</v>
      </c>
      <c r="F362">
        <v>51.11</v>
      </c>
      <c r="G362">
        <v>51.11</v>
      </c>
      <c r="H362">
        <v>51.11</v>
      </c>
      <c r="I362">
        <v>51.11</v>
      </c>
      <c r="J362">
        <v>51.11</v>
      </c>
      <c r="K362">
        <v>51.11</v>
      </c>
    </row>
    <row r="363" spans="1:13" x14ac:dyDescent="0.3">
      <c r="A363">
        <v>-0.66</v>
      </c>
      <c r="B363">
        <v>-0.66</v>
      </c>
      <c r="C363">
        <v>-0.66</v>
      </c>
      <c r="D363">
        <v>-0.66</v>
      </c>
      <c r="E363">
        <v>-0.66</v>
      </c>
      <c r="F363">
        <v>-0.66</v>
      </c>
      <c r="G363">
        <v>-0.66</v>
      </c>
      <c r="H363">
        <v>-0.66</v>
      </c>
      <c r="I363">
        <v>-0.66</v>
      </c>
      <c r="J363">
        <v>-0.66</v>
      </c>
      <c r="K363">
        <v>-0.66</v>
      </c>
    </row>
    <row r="364" spans="1:13" x14ac:dyDescent="0.3">
      <c r="A364">
        <v>100</v>
      </c>
      <c r="B364">
        <v>100</v>
      </c>
      <c r="C364">
        <v>100</v>
      </c>
      <c r="D364">
        <v>100</v>
      </c>
      <c r="E364">
        <v>100</v>
      </c>
      <c r="F364">
        <v>100</v>
      </c>
      <c r="G364">
        <v>100</v>
      </c>
      <c r="H364">
        <v>100</v>
      </c>
      <c r="I364">
        <v>100</v>
      </c>
      <c r="J364">
        <v>100</v>
      </c>
      <c r="K364">
        <v>100</v>
      </c>
    </row>
    <row r="365" spans="1:13" x14ac:dyDescent="0.3">
      <c r="A365">
        <v>51.13</v>
      </c>
      <c r="B365">
        <v>51.13</v>
      </c>
      <c r="C365">
        <v>51.13</v>
      </c>
      <c r="D365">
        <v>51.13</v>
      </c>
      <c r="E365">
        <v>51.13</v>
      </c>
      <c r="F365">
        <v>51.13</v>
      </c>
      <c r="G365">
        <v>51.13</v>
      </c>
      <c r="H365">
        <v>51.13</v>
      </c>
      <c r="I365">
        <v>51.13</v>
      </c>
      <c r="J365">
        <v>51.13</v>
      </c>
      <c r="K365">
        <v>51.13</v>
      </c>
    </row>
    <row r="366" spans="1:13" x14ac:dyDescent="0.3">
      <c r="A366">
        <v>51.2</v>
      </c>
      <c r="B366">
        <v>51.2</v>
      </c>
      <c r="C366">
        <v>51.2</v>
      </c>
      <c r="D366">
        <v>51.2</v>
      </c>
      <c r="E366">
        <v>51.2</v>
      </c>
      <c r="F366">
        <v>51.2</v>
      </c>
      <c r="G366">
        <v>51.2</v>
      </c>
      <c r="H366">
        <v>51.2</v>
      </c>
      <c r="I366">
        <v>51.2</v>
      </c>
      <c r="J366">
        <v>51.2</v>
      </c>
      <c r="K366">
        <v>51.2</v>
      </c>
    </row>
    <row r="367" spans="1:13" x14ac:dyDescent="0.3">
      <c r="A367">
        <v>200</v>
      </c>
      <c r="B367">
        <v>200</v>
      </c>
      <c r="C367">
        <v>200</v>
      </c>
      <c r="D367">
        <v>200</v>
      </c>
      <c r="E367">
        <v>200</v>
      </c>
      <c r="F367">
        <v>200</v>
      </c>
      <c r="G367">
        <v>200</v>
      </c>
      <c r="H367">
        <v>200</v>
      </c>
      <c r="I367">
        <v>200</v>
      </c>
      <c r="J367">
        <v>200</v>
      </c>
      <c r="K367">
        <v>200</v>
      </c>
    </row>
    <row r="368" spans="1:13" x14ac:dyDescent="0.3">
      <c r="A368" t="s">
        <v>30</v>
      </c>
      <c r="B368" t="s">
        <v>30</v>
      </c>
      <c r="C368" t="s">
        <v>30</v>
      </c>
      <c r="D368" t="s">
        <v>30</v>
      </c>
      <c r="E368" t="s">
        <v>30</v>
      </c>
      <c r="F368" t="s">
        <v>30</v>
      </c>
      <c r="G368" t="s">
        <v>30</v>
      </c>
      <c r="H368" t="s">
        <v>30</v>
      </c>
      <c r="I368" t="s">
        <v>30</v>
      </c>
      <c r="J368" t="s">
        <v>30</v>
      </c>
      <c r="K368" t="s">
        <v>30</v>
      </c>
    </row>
    <row r="369" spans="1:13" x14ac:dyDescent="0.3">
      <c r="A369">
        <v>11433481</v>
      </c>
      <c r="B369">
        <v>11433481</v>
      </c>
      <c r="C369">
        <v>11433481</v>
      </c>
      <c r="D369">
        <v>11433481</v>
      </c>
      <c r="E369">
        <v>11433481</v>
      </c>
      <c r="F369">
        <v>11433481</v>
      </c>
      <c r="G369">
        <v>11433481</v>
      </c>
      <c r="H369">
        <v>11433481</v>
      </c>
      <c r="I369">
        <v>11433481</v>
      </c>
      <c r="J369">
        <v>11433481</v>
      </c>
      <c r="K369">
        <v>11433481</v>
      </c>
    </row>
    <row r="370" spans="1:13" x14ac:dyDescent="0.3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1:13" x14ac:dyDescent="0.3">
      <c r="A371" t="s">
        <v>19</v>
      </c>
      <c r="B371" t="s">
        <v>19</v>
      </c>
      <c r="C371" t="s">
        <v>19</v>
      </c>
      <c r="D371" t="s">
        <v>19</v>
      </c>
      <c r="E371" t="s">
        <v>19</v>
      </c>
      <c r="F371" t="s">
        <v>19</v>
      </c>
      <c r="G371" t="s">
        <v>19</v>
      </c>
      <c r="H371" t="s">
        <v>19</v>
      </c>
      <c r="I371" t="s">
        <v>19</v>
      </c>
      <c r="J371" t="s">
        <v>19</v>
      </c>
      <c r="K371" t="s">
        <v>19</v>
      </c>
    </row>
    <row r="372" spans="1:13" x14ac:dyDescent="0.3">
      <c r="A372" t="s">
        <v>20</v>
      </c>
      <c r="B372" t="s">
        <v>20</v>
      </c>
      <c r="C372" t="s">
        <v>20</v>
      </c>
      <c r="D372" t="s">
        <v>20</v>
      </c>
      <c r="E372" t="s">
        <v>20</v>
      </c>
      <c r="F372" t="s">
        <v>20</v>
      </c>
      <c r="G372" t="s">
        <v>20</v>
      </c>
      <c r="H372" t="s">
        <v>20</v>
      </c>
      <c r="I372" t="s">
        <v>20</v>
      </c>
      <c r="J372" t="s">
        <v>20</v>
      </c>
      <c r="K372" t="s">
        <v>20</v>
      </c>
    </row>
    <row r="373" spans="1:13" x14ac:dyDescent="0.3">
      <c r="A373" t="s">
        <v>15</v>
      </c>
      <c r="B373" t="s">
        <v>15</v>
      </c>
      <c r="C373" t="s">
        <v>15</v>
      </c>
      <c r="D373" t="s">
        <v>15</v>
      </c>
      <c r="E373" t="s">
        <v>15</v>
      </c>
      <c r="F373" t="s">
        <v>15</v>
      </c>
      <c r="G373" t="s">
        <v>15</v>
      </c>
      <c r="H373" t="s">
        <v>15</v>
      </c>
      <c r="I373" t="s">
        <v>15</v>
      </c>
      <c r="J373" t="s">
        <v>15</v>
      </c>
      <c r="K373" t="s">
        <v>15</v>
      </c>
      <c r="L373" t="s">
        <v>16</v>
      </c>
      <c r="M373" t="s">
        <v>17</v>
      </c>
    </row>
    <row r="374" spans="1:13" x14ac:dyDescent="0.3">
      <c r="A374">
        <v>119.39</v>
      </c>
      <c r="B374">
        <v>119.39</v>
      </c>
      <c r="C374">
        <v>119.39</v>
      </c>
      <c r="D374">
        <v>119.39</v>
      </c>
      <c r="E374">
        <v>119.39</v>
      </c>
      <c r="F374">
        <v>119.39</v>
      </c>
      <c r="G374">
        <v>119.39</v>
      </c>
      <c r="H374">
        <v>119.39</v>
      </c>
      <c r="I374">
        <v>119.39</v>
      </c>
      <c r="J374">
        <v>119.39</v>
      </c>
      <c r="K374">
        <v>119.39</v>
      </c>
    </row>
    <row r="375" spans="1:13" x14ac:dyDescent="0.3">
      <c r="A375">
        <v>4.43</v>
      </c>
      <c r="B375">
        <v>4.43</v>
      </c>
      <c r="C375">
        <v>4.43</v>
      </c>
      <c r="D375">
        <v>4.43</v>
      </c>
      <c r="E375">
        <v>4.43</v>
      </c>
      <c r="F375">
        <v>4.43</v>
      </c>
      <c r="G375">
        <v>4.43</v>
      </c>
      <c r="H375">
        <v>4.43</v>
      </c>
      <c r="I375">
        <v>4.43</v>
      </c>
      <c r="J375">
        <v>4.43</v>
      </c>
      <c r="K375">
        <v>4.43</v>
      </c>
    </row>
    <row r="376" spans="1:13" x14ac:dyDescent="0.3">
      <c r="A376">
        <v>300</v>
      </c>
      <c r="B376">
        <v>300</v>
      </c>
      <c r="C376">
        <v>300</v>
      </c>
      <c r="D376">
        <v>300</v>
      </c>
      <c r="E376">
        <v>300</v>
      </c>
      <c r="F376">
        <v>300</v>
      </c>
      <c r="G376">
        <v>300</v>
      </c>
      <c r="H376">
        <v>300</v>
      </c>
      <c r="I376">
        <v>300</v>
      </c>
      <c r="J376">
        <v>300</v>
      </c>
      <c r="K376">
        <v>300</v>
      </c>
    </row>
    <row r="377" spans="1:13" x14ac:dyDescent="0.3">
      <c r="A377">
        <v>116.95</v>
      </c>
      <c r="B377">
        <v>116.95</v>
      </c>
      <c r="C377">
        <v>116.95</v>
      </c>
      <c r="D377">
        <v>116.95</v>
      </c>
      <c r="E377">
        <v>116.95</v>
      </c>
      <c r="F377">
        <v>116.95</v>
      </c>
      <c r="G377">
        <v>116.95</v>
      </c>
      <c r="H377">
        <v>116.95</v>
      </c>
      <c r="I377">
        <v>116.95</v>
      </c>
      <c r="J377">
        <v>116.95</v>
      </c>
      <c r="K377">
        <v>116.95</v>
      </c>
    </row>
    <row r="378" spans="1:13" x14ac:dyDescent="0.3">
      <c r="A378">
        <v>120.99</v>
      </c>
      <c r="B378">
        <v>120.99</v>
      </c>
      <c r="C378">
        <v>120.99</v>
      </c>
      <c r="D378">
        <v>120.99</v>
      </c>
      <c r="E378">
        <v>120.99</v>
      </c>
      <c r="F378">
        <v>120.99</v>
      </c>
      <c r="G378">
        <v>120.99</v>
      </c>
      <c r="H378">
        <v>120.99</v>
      </c>
      <c r="I378">
        <v>120.99</v>
      </c>
      <c r="J378">
        <v>120.99</v>
      </c>
      <c r="K378">
        <v>120.99</v>
      </c>
    </row>
    <row r="379" spans="1:13" x14ac:dyDescent="0.3">
      <c r="A379">
        <v>300</v>
      </c>
      <c r="B379">
        <v>300</v>
      </c>
      <c r="C379">
        <v>300</v>
      </c>
      <c r="D379">
        <v>300</v>
      </c>
      <c r="E379">
        <v>300</v>
      </c>
      <c r="F379">
        <v>300</v>
      </c>
      <c r="G379">
        <v>300</v>
      </c>
      <c r="H379">
        <v>300</v>
      </c>
      <c r="I379">
        <v>300</v>
      </c>
      <c r="J379">
        <v>300</v>
      </c>
      <c r="K379">
        <v>300</v>
      </c>
    </row>
    <row r="380" spans="1:13" x14ac:dyDescent="0.3">
      <c r="A380" t="s">
        <v>34</v>
      </c>
      <c r="B380" t="s">
        <v>34</v>
      </c>
      <c r="C380" t="s">
        <v>34</v>
      </c>
      <c r="D380" t="s">
        <v>34</v>
      </c>
      <c r="E380" t="s">
        <v>34</v>
      </c>
      <c r="F380" t="s">
        <v>34</v>
      </c>
      <c r="G380" t="s">
        <v>34</v>
      </c>
      <c r="H380" t="s">
        <v>34</v>
      </c>
      <c r="I380" t="s">
        <v>34</v>
      </c>
      <c r="J380" t="s">
        <v>34</v>
      </c>
      <c r="K380" t="s">
        <v>34</v>
      </c>
    </row>
    <row r="381" spans="1:13" x14ac:dyDescent="0.3">
      <c r="A381">
        <v>1749740</v>
      </c>
      <c r="B381">
        <v>1749740</v>
      </c>
      <c r="C381">
        <v>1749740</v>
      </c>
      <c r="D381">
        <v>1749740</v>
      </c>
      <c r="E381">
        <v>1749740</v>
      </c>
      <c r="F381">
        <v>1749740</v>
      </c>
      <c r="G381">
        <v>1749740</v>
      </c>
      <c r="H381">
        <v>1749740</v>
      </c>
      <c r="I381">
        <v>1749740</v>
      </c>
      <c r="J381">
        <v>1749740</v>
      </c>
      <c r="K381">
        <v>1749740</v>
      </c>
    </row>
    <row r="382" spans="1:13" x14ac:dyDescent="0.3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</row>
    <row r="383" spans="1:13" x14ac:dyDescent="0.3">
      <c r="A383" t="s">
        <v>19</v>
      </c>
      <c r="B383" t="s">
        <v>19</v>
      </c>
      <c r="C383" t="s">
        <v>19</v>
      </c>
      <c r="D383" t="s">
        <v>19</v>
      </c>
      <c r="E383" t="s">
        <v>19</v>
      </c>
      <c r="F383" t="s">
        <v>19</v>
      </c>
      <c r="G383" t="s">
        <v>19</v>
      </c>
      <c r="H383" t="s">
        <v>19</v>
      </c>
      <c r="I383" t="s">
        <v>19</v>
      </c>
      <c r="J383" t="s">
        <v>19</v>
      </c>
      <c r="K383" t="s">
        <v>19</v>
      </c>
    </row>
    <row r="384" spans="1:13" x14ac:dyDescent="0.3">
      <c r="A384" t="s">
        <v>20</v>
      </c>
      <c r="B384" t="s">
        <v>20</v>
      </c>
      <c r="C384" t="s">
        <v>20</v>
      </c>
      <c r="D384" t="s">
        <v>20</v>
      </c>
      <c r="E384" t="s">
        <v>20</v>
      </c>
      <c r="F384" t="s">
        <v>20</v>
      </c>
      <c r="G384" t="s">
        <v>20</v>
      </c>
      <c r="H384" t="s">
        <v>20</v>
      </c>
      <c r="I384" t="s">
        <v>20</v>
      </c>
      <c r="J384" t="s">
        <v>20</v>
      </c>
      <c r="K384" t="s">
        <v>20</v>
      </c>
    </row>
    <row r="385" spans="1:13" x14ac:dyDescent="0.3">
      <c r="A385" t="s">
        <v>15</v>
      </c>
      <c r="B385" t="s">
        <v>15</v>
      </c>
      <c r="C385" t="s">
        <v>15</v>
      </c>
      <c r="D385" t="s">
        <v>15</v>
      </c>
      <c r="E385" t="s">
        <v>15</v>
      </c>
      <c r="F385" t="s">
        <v>15</v>
      </c>
      <c r="G385" t="s">
        <v>15</v>
      </c>
      <c r="H385" t="s">
        <v>15</v>
      </c>
      <c r="I385" t="s">
        <v>15</v>
      </c>
      <c r="J385" t="s">
        <v>15</v>
      </c>
      <c r="K385" t="s">
        <v>15</v>
      </c>
      <c r="L385" t="s">
        <v>16</v>
      </c>
      <c r="M385" t="s">
        <v>17</v>
      </c>
    </row>
    <row r="386" spans="1:13" x14ac:dyDescent="0.3">
      <c r="A386">
        <v>355.17</v>
      </c>
      <c r="B386">
        <v>355.17</v>
      </c>
      <c r="C386">
        <v>355.17</v>
      </c>
      <c r="D386">
        <v>355.17</v>
      </c>
      <c r="E386">
        <v>355.17</v>
      </c>
      <c r="F386">
        <v>355.17</v>
      </c>
      <c r="G386">
        <v>355.17</v>
      </c>
      <c r="H386">
        <v>355.17</v>
      </c>
      <c r="I386">
        <v>355.17</v>
      </c>
      <c r="J386">
        <v>355.17</v>
      </c>
      <c r="K386">
        <v>355.17</v>
      </c>
    </row>
    <row r="387" spans="1:13" x14ac:dyDescent="0.3">
      <c r="A387">
        <v>-0.19</v>
      </c>
      <c r="B387">
        <v>-0.19</v>
      </c>
      <c r="C387">
        <v>-0.19</v>
      </c>
      <c r="D387">
        <v>-0.19</v>
      </c>
      <c r="E387">
        <v>-0.19</v>
      </c>
      <c r="F387">
        <v>-0.19</v>
      </c>
      <c r="G387">
        <v>-0.19</v>
      </c>
      <c r="H387">
        <v>-0.19</v>
      </c>
      <c r="I387">
        <v>-0.19</v>
      </c>
      <c r="J387">
        <v>-0.19</v>
      </c>
      <c r="K387">
        <v>-0.19</v>
      </c>
    </row>
    <row r="388" spans="1:13" x14ac:dyDescent="0.3">
      <c r="A388">
        <v>100</v>
      </c>
      <c r="B388">
        <v>100</v>
      </c>
      <c r="C388">
        <v>100</v>
      </c>
      <c r="D388">
        <v>100</v>
      </c>
      <c r="E388">
        <v>100</v>
      </c>
      <c r="F388">
        <v>100</v>
      </c>
      <c r="G388">
        <v>100</v>
      </c>
      <c r="H388">
        <v>100</v>
      </c>
      <c r="I388">
        <v>100</v>
      </c>
      <c r="J388">
        <v>100</v>
      </c>
      <c r="K388">
        <v>100</v>
      </c>
    </row>
    <row r="389" spans="1:13" x14ac:dyDescent="0.3">
      <c r="A389">
        <v>355.25</v>
      </c>
      <c r="B389">
        <v>355.25</v>
      </c>
      <c r="C389">
        <v>355.25</v>
      </c>
      <c r="D389">
        <v>355.25</v>
      </c>
      <c r="E389">
        <v>355.25</v>
      </c>
      <c r="F389">
        <v>355.25</v>
      </c>
      <c r="G389">
        <v>355.25</v>
      </c>
      <c r="H389">
        <v>355.25</v>
      </c>
      <c r="I389">
        <v>355.25</v>
      </c>
      <c r="J389">
        <v>355.25</v>
      </c>
      <c r="K389">
        <v>355.25</v>
      </c>
    </row>
    <row r="390" spans="1:13" x14ac:dyDescent="0.3">
      <c r="A390">
        <v>356.08</v>
      </c>
      <c r="B390">
        <v>356.08</v>
      </c>
      <c r="C390">
        <v>356.08</v>
      </c>
      <c r="D390">
        <v>356.08</v>
      </c>
      <c r="E390">
        <v>356.08</v>
      </c>
      <c r="F390">
        <v>356.08</v>
      </c>
      <c r="G390">
        <v>356.08</v>
      </c>
      <c r="H390">
        <v>356.08</v>
      </c>
      <c r="I390">
        <v>356.08</v>
      </c>
      <c r="J390">
        <v>356.08</v>
      </c>
      <c r="K390">
        <v>356.08</v>
      </c>
    </row>
    <row r="391" spans="1:13" x14ac:dyDescent="0.3">
      <c r="A391">
        <v>100</v>
      </c>
      <c r="B391">
        <v>100</v>
      </c>
      <c r="C391">
        <v>100</v>
      </c>
      <c r="D391">
        <v>100</v>
      </c>
      <c r="E391">
        <v>100</v>
      </c>
      <c r="F391">
        <v>100</v>
      </c>
      <c r="G391">
        <v>100</v>
      </c>
      <c r="H391">
        <v>100</v>
      </c>
      <c r="I391">
        <v>100</v>
      </c>
      <c r="J391">
        <v>100</v>
      </c>
      <c r="K391">
        <v>100</v>
      </c>
    </row>
    <row r="392" spans="1:13" x14ac:dyDescent="0.3">
      <c r="A392" t="s">
        <v>22</v>
      </c>
      <c r="B392" t="s">
        <v>22</v>
      </c>
      <c r="C392" t="s">
        <v>22</v>
      </c>
      <c r="D392" t="s">
        <v>22</v>
      </c>
      <c r="E392" t="s">
        <v>22</v>
      </c>
      <c r="F392" t="s">
        <v>22</v>
      </c>
      <c r="G392" t="s">
        <v>22</v>
      </c>
      <c r="H392" t="s">
        <v>22</v>
      </c>
      <c r="I392" t="s">
        <v>22</v>
      </c>
      <c r="J392" t="s">
        <v>22</v>
      </c>
      <c r="K392" t="s">
        <v>22</v>
      </c>
    </row>
    <row r="393" spans="1:13" x14ac:dyDescent="0.3">
      <c r="A393">
        <v>2082432</v>
      </c>
      <c r="B393">
        <v>2082432</v>
      </c>
      <c r="C393">
        <v>2082432</v>
      </c>
      <c r="D393">
        <v>2082432</v>
      </c>
      <c r="E393">
        <v>2082432</v>
      </c>
      <c r="F393">
        <v>2082432</v>
      </c>
      <c r="G393">
        <v>2082432</v>
      </c>
      <c r="H393">
        <v>2082432</v>
      </c>
      <c r="I393">
        <v>2082432</v>
      </c>
      <c r="J393">
        <v>2082432</v>
      </c>
      <c r="K393">
        <v>2082432</v>
      </c>
    </row>
    <row r="394" spans="1:13" x14ac:dyDescent="0.3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1:13" x14ac:dyDescent="0.3">
      <c r="A395" t="s">
        <v>19</v>
      </c>
      <c r="B395" t="s">
        <v>19</v>
      </c>
      <c r="C395" t="s">
        <v>19</v>
      </c>
      <c r="D395" t="s">
        <v>19</v>
      </c>
      <c r="E395" t="s">
        <v>19</v>
      </c>
      <c r="F395" t="s">
        <v>19</v>
      </c>
      <c r="G395" t="s">
        <v>19</v>
      </c>
      <c r="H395" t="s">
        <v>19</v>
      </c>
      <c r="I395" t="s">
        <v>19</v>
      </c>
      <c r="J395" t="s">
        <v>19</v>
      </c>
      <c r="K395" t="s">
        <v>19</v>
      </c>
    </row>
    <row r="396" spans="1:13" x14ac:dyDescent="0.3">
      <c r="A396" t="s">
        <v>20</v>
      </c>
      <c r="B396" t="s">
        <v>20</v>
      </c>
      <c r="C396" t="s">
        <v>20</v>
      </c>
      <c r="D396" t="s">
        <v>20</v>
      </c>
      <c r="E396" t="s">
        <v>20</v>
      </c>
      <c r="F396" t="s">
        <v>20</v>
      </c>
      <c r="G396" t="s">
        <v>20</v>
      </c>
      <c r="H396" t="s">
        <v>20</v>
      </c>
      <c r="I396" t="s">
        <v>20</v>
      </c>
      <c r="J396" t="s">
        <v>20</v>
      </c>
      <c r="K396" t="s">
        <v>20</v>
      </c>
    </row>
    <row r="397" spans="1:13" x14ac:dyDescent="0.3">
      <c r="A397" t="s">
        <v>15</v>
      </c>
      <c r="B397" t="s">
        <v>15</v>
      </c>
      <c r="C397" t="s">
        <v>15</v>
      </c>
      <c r="D397" t="s">
        <v>15</v>
      </c>
      <c r="E397" t="s">
        <v>15</v>
      </c>
      <c r="F397" t="s">
        <v>15</v>
      </c>
      <c r="G397" t="s">
        <v>15</v>
      </c>
      <c r="H397" t="s">
        <v>15</v>
      </c>
      <c r="I397" t="s">
        <v>15</v>
      </c>
      <c r="J397" t="s">
        <v>15</v>
      </c>
      <c r="K397" t="s">
        <v>15</v>
      </c>
      <c r="L397" t="s">
        <v>16</v>
      </c>
      <c r="M397" t="s">
        <v>17</v>
      </c>
    </row>
    <row r="398" spans="1:13" x14ac:dyDescent="0.3">
      <c r="A398">
        <v>88.55</v>
      </c>
      <c r="B398">
        <v>88.55</v>
      </c>
      <c r="C398">
        <v>88.55</v>
      </c>
      <c r="D398">
        <v>88.55</v>
      </c>
      <c r="E398">
        <v>88.55</v>
      </c>
      <c r="F398">
        <v>88.55</v>
      </c>
      <c r="G398">
        <v>88.55</v>
      </c>
      <c r="H398">
        <v>88.55</v>
      </c>
      <c r="I398">
        <v>88.55</v>
      </c>
      <c r="J398">
        <v>88.55</v>
      </c>
      <c r="K398">
        <v>88.55</v>
      </c>
    </row>
    <row r="399" spans="1:13" x14ac:dyDescent="0.3">
      <c r="A399">
        <v>0.15</v>
      </c>
      <c r="B399">
        <v>0.15</v>
      </c>
      <c r="C399">
        <v>0.15</v>
      </c>
      <c r="D399">
        <v>0.15</v>
      </c>
      <c r="E399">
        <v>0.15</v>
      </c>
      <c r="F399">
        <v>0.15</v>
      </c>
      <c r="G399">
        <v>0.15</v>
      </c>
      <c r="H399">
        <v>0.15</v>
      </c>
      <c r="I399">
        <v>0.15</v>
      </c>
      <c r="J399">
        <v>0.15</v>
      </c>
      <c r="K399">
        <v>0.15</v>
      </c>
    </row>
    <row r="400" spans="1:13" x14ac:dyDescent="0.3">
      <c r="A400">
        <v>200</v>
      </c>
      <c r="B400">
        <v>200</v>
      </c>
      <c r="C400">
        <v>200</v>
      </c>
      <c r="D400">
        <v>200</v>
      </c>
      <c r="E400">
        <v>200</v>
      </c>
      <c r="F400">
        <v>200</v>
      </c>
      <c r="G400">
        <v>200</v>
      </c>
      <c r="H400">
        <v>200</v>
      </c>
      <c r="I400">
        <v>200</v>
      </c>
      <c r="J400">
        <v>200</v>
      </c>
      <c r="K400">
        <v>200</v>
      </c>
    </row>
    <row r="401" spans="1:13" x14ac:dyDescent="0.3">
      <c r="A401">
        <v>88.4</v>
      </c>
      <c r="B401">
        <v>88.4</v>
      </c>
      <c r="C401">
        <v>88.4</v>
      </c>
      <c r="D401">
        <v>88.4</v>
      </c>
      <c r="E401">
        <v>88.4</v>
      </c>
      <c r="F401">
        <v>88.4</v>
      </c>
      <c r="G401">
        <v>88.4</v>
      </c>
      <c r="H401">
        <v>88.4</v>
      </c>
      <c r="I401">
        <v>88.4</v>
      </c>
      <c r="J401">
        <v>88.4</v>
      </c>
      <c r="K401">
        <v>88.4</v>
      </c>
    </row>
    <row r="402" spans="1:13" x14ac:dyDescent="0.3">
      <c r="A402">
        <v>89.22</v>
      </c>
      <c r="B402">
        <v>89.22</v>
      </c>
      <c r="C402">
        <v>89.22</v>
      </c>
      <c r="D402">
        <v>89.22</v>
      </c>
      <c r="E402">
        <v>89.22</v>
      </c>
      <c r="F402">
        <v>89.22</v>
      </c>
      <c r="G402">
        <v>89.22</v>
      </c>
      <c r="H402">
        <v>89.22</v>
      </c>
      <c r="I402">
        <v>89.22</v>
      </c>
      <c r="J402">
        <v>89.22</v>
      </c>
      <c r="K402">
        <v>89.22</v>
      </c>
    </row>
    <row r="403" spans="1:13" x14ac:dyDescent="0.3">
      <c r="A403">
        <v>100</v>
      </c>
      <c r="B403">
        <v>100</v>
      </c>
      <c r="C403">
        <v>100</v>
      </c>
      <c r="D403">
        <v>100</v>
      </c>
      <c r="E403">
        <v>100</v>
      </c>
      <c r="F403">
        <v>100</v>
      </c>
      <c r="G403">
        <v>100</v>
      </c>
      <c r="H403">
        <v>100</v>
      </c>
      <c r="I403">
        <v>100</v>
      </c>
      <c r="J403">
        <v>100</v>
      </c>
      <c r="K403">
        <v>100</v>
      </c>
    </row>
    <row r="404" spans="1:13" x14ac:dyDescent="0.3">
      <c r="A404" t="s">
        <v>44</v>
      </c>
      <c r="B404" t="s">
        <v>44</v>
      </c>
      <c r="C404" t="s">
        <v>44</v>
      </c>
      <c r="D404" t="s">
        <v>44</v>
      </c>
      <c r="E404" t="s">
        <v>44</v>
      </c>
      <c r="F404" t="s">
        <v>44</v>
      </c>
      <c r="G404" t="s">
        <v>44</v>
      </c>
      <c r="H404" t="s">
        <v>44</v>
      </c>
      <c r="I404" t="s">
        <v>44</v>
      </c>
      <c r="J404" t="s">
        <v>44</v>
      </c>
      <c r="K404" t="s">
        <v>44</v>
      </c>
    </row>
    <row r="405" spans="1:13" x14ac:dyDescent="0.3">
      <c r="A405">
        <v>3112582</v>
      </c>
      <c r="B405">
        <v>3112582</v>
      </c>
      <c r="C405">
        <v>3112582</v>
      </c>
      <c r="D405">
        <v>3112582</v>
      </c>
      <c r="E405">
        <v>3112582</v>
      </c>
      <c r="F405">
        <v>3112582</v>
      </c>
      <c r="G405">
        <v>3112582</v>
      </c>
      <c r="H405">
        <v>3112582</v>
      </c>
      <c r="I405">
        <v>3112582</v>
      </c>
      <c r="J405">
        <v>3112582</v>
      </c>
      <c r="K405">
        <v>3112582</v>
      </c>
    </row>
    <row r="406" spans="1:13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1:13" x14ac:dyDescent="0.3">
      <c r="A407" t="s">
        <v>19</v>
      </c>
      <c r="B407" t="s">
        <v>19</v>
      </c>
      <c r="C407" t="s">
        <v>19</v>
      </c>
      <c r="D407" t="s">
        <v>19</v>
      </c>
      <c r="E407" t="s">
        <v>19</v>
      </c>
      <c r="F407" t="s">
        <v>19</v>
      </c>
      <c r="G407" t="s">
        <v>19</v>
      </c>
      <c r="H407" t="s">
        <v>19</v>
      </c>
      <c r="I407" t="s">
        <v>19</v>
      </c>
      <c r="J407" t="s">
        <v>19</v>
      </c>
      <c r="K407" t="s">
        <v>19</v>
      </c>
    </row>
    <row r="408" spans="1:13" x14ac:dyDescent="0.3">
      <c r="A408" t="s">
        <v>20</v>
      </c>
      <c r="B408" t="s">
        <v>20</v>
      </c>
      <c r="C408" t="s">
        <v>20</v>
      </c>
      <c r="D408" t="s">
        <v>20</v>
      </c>
      <c r="E408" t="s">
        <v>20</v>
      </c>
      <c r="F408" t="s">
        <v>20</v>
      </c>
      <c r="G408" t="s">
        <v>20</v>
      </c>
      <c r="H408" t="s">
        <v>20</v>
      </c>
      <c r="I408" t="s">
        <v>20</v>
      </c>
      <c r="J408" t="s">
        <v>20</v>
      </c>
      <c r="K408" t="s">
        <v>20</v>
      </c>
    </row>
    <row r="409" spans="1:13" x14ac:dyDescent="0.3">
      <c r="A409" t="s">
        <v>15</v>
      </c>
      <c r="B409" t="s">
        <v>15</v>
      </c>
      <c r="C409" t="s">
        <v>15</v>
      </c>
      <c r="D409" t="s">
        <v>15</v>
      </c>
      <c r="E409" t="s">
        <v>15</v>
      </c>
      <c r="F409" t="s">
        <v>15</v>
      </c>
      <c r="G409" t="s">
        <v>15</v>
      </c>
      <c r="H409" t="s">
        <v>15</v>
      </c>
      <c r="I409" t="s">
        <v>15</v>
      </c>
      <c r="J409" t="s">
        <v>15</v>
      </c>
      <c r="K409" t="s">
        <v>15</v>
      </c>
      <c r="L409" t="s">
        <v>16</v>
      </c>
      <c r="M409" t="s">
        <v>17</v>
      </c>
    </row>
    <row r="410" spans="1:13" x14ac:dyDescent="0.3">
      <c r="A410">
        <v>411.03</v>
      </c>
      <c r="B410">
        <v>411.03</v>
      </c>
      <c r="C410">
        <v>411.03</v>
      </c>
      <c r="D410">
        <v>411.03</v>
      </c>
      <c r="E410">
        <v>411.03</v>
      </c>
      <c r="F410">
        <v>411.03</v>
      </c>
      <c r="G410">
        <v>411.03</v>
      </c>
      <c r="H410">
        <v>411.03</v>
      </c>
      <c r="I410">
        <v>411.03</v>
      </c>
      <c r="J410">
        <v>411.03</v>
      </c>
      <c r="K410">
        <v>411.03</v>
      </c>
    </row>
    <row r="411" spans="1:13" x14ac:dyDescent="0.3">
      <c r="A411">
        <v>1.93</v>
      </c>
      <c r="B411">
        <v>1.93</v>
      </c>
      <c r="C411">
        <v>1.93</v>
      </c>
      <c r="D411">
        <v>1.93</v>
      </c>
      <c r="E411">
        <v>1.93</v>
      </c>
      <c r="F411">
        <v>1.93</v>
      </c>
      <c r="G411">
        <v>1.93</v>
      </c>
      <c r="H411">
        <v>1.93</v>
      </c>
      <c r="I411">
        <v>1.93</v>
      </c>
      <c r="J411">
        <v>1.93</v>
      </c>
      <c r="K411">
        <v>1.93</v>
      </c>
    </row>
    <row r="412" spans="1:13" x14ac:dyDescent="0.3">
      <c r="A412">
        <v>100</v>
      </c>
      <c r="B412">
        <v>100</v>
      </c>
      <c r="C412">
        <v>100</v>
      </c>
      <c r="D412">
        <v>100</v>
      </c>
      <c r="E412">
        <v>100</v>
      </c>
      <c r="F412">
        <v>100</v>
      </c>
      <c r="G412">
        <v>100</v>
      </c>
      <c r="H412">
        <v>100</v>
      </c>
      <c r="I412">
        <v>100</v>
      </c>
      <c r="J412">
        <v>100</v>
      </c>
      <c r="K412">
        <v>100</v>
      </c>
    </row>
    <row r="413" spans="1:13" x14ac:dyDescent="0.3">
      <c r="A413">
        <v>395.01</v>
      </c>
      <c r="B413">
        <v>395.01</v>
      </c>
      <c r="C413">
        <v>395.01</v>
      </c>
      <c r="D413">
        <v>395.01</v>
      </c>
      <c r="E413">
        <v>395.01</v>
      </c>
      <c r="F413">
        <v>395.01</v>
      </c>
      <c r="G413">
        <v>395.01</v>
      </c>
      <c r="H413">
        <v>395.01</v>
      </c>
      <c r="I413">
        <v>395.01</v>
      </c>
      <c r="J413">
        <v>395.01</v>
      </c>
      <c r="K413">
        <v>395.01</v>
      </c>
    </row>
    <row r="414" spans="1:13" x14ac:dyDescent="0.3">
      <c r="A414">
        <v>413</v>
      </c>
      <c r="B414">
        <v>413</v>
      </c>
      <c r="C414">
        <v>413</v>
      </c>
      <c r="D414">
        <v>413</v>
      </c>
      <c r="E414">
        <v>413</v>
      </c>
      <c r="F414">
        <v>413</v>
      </c>
      <c r="G414">
        <v>413</v>
      </c>
      <c r="H414">
        <v>413</v>
      </c>
      <c r="I414">
        <v>413</v>
      </c>
      <c r="J414">
        <v>413</v>
      </c>
      <c r="K414">
        <v>413</v>
      </c>
    </row>
    <row r="415" spans="1:13" x14ac:dyDescent="0.3">
      <c r="A415">
        <v>100</v>
      </c>
      <c r="B415">
        <v>100</v>
      </c>
      <c r="C415">
        <v>100</v>
      </c>
      <c r="D415">
        <v>100</v>
      </c>
      <c r="E415">
        <v>100</v>
      </c>
      <c r="F415">
        <v>100</v>
      </c>
      <c r="G415">
        <v>100</v>
      </c>
      <c r="H415">
        <v>100</v>
      </c>
      <c r="I415">
        <v>100</v>
      </c>
      <c r="J415">
        <v>100</v>
      </c>
      <c r="K415">
        <v>100</v>
      </c>
    </row>
    <row r="416" spans="1:13" x14ac:dyDescent="0.3">
      <c r="A416" t="s">
        <v>30</v>
      </c>
      <c r="B416" t="s">
        <v>30</v>
      </c>
      <c r="C416" t="s">
        <v>30</v>
      </c>
      <c r="D416" t="s">
        <v>30</v>
      </c>
      <c r="E416" t="s">
        <v>30</v>
      </c>
      <c r="F416" t="s">
        <v>30</v>
      </c>
      <c r="G416" t="s">
        <v>30</v>
      </c>
      <c r="H416" t="s">
        <v>30</v>
      </c>
      <c r="I416" t="s">
        <v>30</v>
      </c>
      <c r="J416" t="s">
        <v>30</v>
      </c>
      <c r="K416" t="s">
        <v>30</v>
      </c>
    </row>
    <row r="417" spans="1:13" x14ac:dyDescent="0.3">
      <c r="A417">
        <v>558598</v>
      </c>
      <c r="B417">
        <v>558598</v>
      </c>
      <c r="C417">
        <v>558598</v>
      </c>
      <c r="D417">
        <v>558598</v>
      </c>
      <c r="E417">
        <v>558598</v>
      </c>
      <c r="F417">
        <v>558598</v>
      </c>
      <c r="G417">
        <v>558598</v>
      </c>
      <c r="H417">
        <v>558598</v>
      </c>
      <c r="I417">
        <v>558598</v>
      </c>
      <c r="J417">
        <v>558598</v>
      </c>
      <c r="K417">
        <v>558598</v>
      </c>
    </row>
    <row r="418" spans="1:13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</row>
    <row r="419" spans="1:13" x14ac:dyDescent="0.3">
      <c r="A419" t="s">
        <v>19</v>
      </c>
      <c r="B419" t="s">
        <v>19</v>
      </c>
      <c r="C419" t="s">
        <v>19</v>
      </c>
      <c r="D419" t="s">
        <v>19</v>
      </c>
      <c r="E419" t="s">
        <v>19</v>
      </c>
      <c r="F419" t="s">
        <v>19</v>
      </c>
      <c r="G419" t="s">
        <v>19</v>
      </c>
      <c r="H419" t="s">
        <v>19</v>
      </c>
      <c r="I419" t="s">
        <v>19</v>
      </c>
      <c r="J419" t="s">
        <v>19</v>
      </c>
      <c r="K419" t="s">
        <v>19</v>
      </c>
    </row>
    <row r="420" spans="1:13" x14ac:dyDescent="0.3">
      <c r="A420" t="s">
        <v>20</v>
      </c>
      <c r="B420" t="s">
        <v>20</v>
      </c>
      <c r="C420" t="s">
        <v>20</v>
      </c>
      <c r="D420" t="s">
        <v>20</v>
      </c>
      <c r="E420" t="s">
        <v>20</v>
      </c>
      <c r="F420" t="s">
        <v>20</v>
      </c>
      <c r="G420" t="s">
        <v>20</v>
      </c>
      <c r="H420" t="s">
        <v>20</v>
      </c>
      <c r="I420" t="s">
        <v>20</v>
      </c>
      <c r="J420" t="s">
        <v>20</v>
      </c>
      <c r="K420" t="s">
        <v>20</v>
      </c>
    </row>
    <row r="421" spans="1:13" x14ac:dyDescent="0.3">
      <c r="A421" t="s">
        <v>15</v>
      </c>
      <c r="B421" t="s">
        <v>15</v>
      </c>
      <c r="C421" t="s">
        <v>15</v>
      </c>
      <c r="D421" t="s">
        <v>15</v>
      </c>
      <c r="E421" t="s">
        <v>15</v>
      </c>
      <c r="F421" t="s">
        <v>15</v>
      </c>
      <c r="G421" t="s">
        <v>15</v>
      </c>
      <c r="H421" t="s">
        <v>15</v>
      </c>
      <c r="I421" t="s">
        <v>15</v>
      </c>
      <c r="J421" t="s">
        <v>15</v>
      </c>
      <c r="K421" t="s">
        <v>15</v>
      </c>
      <c r="L421" t="s">
        <v>16</v>
      </c>
      <c r="M421" t="s">
        <v>17</v>
      </c>
    </row>
    <row r="422" spans="1:13" x14ac:dyDescent="0.3">
      <c r="A422">
        <v>250.37</v>
      </c>
      <c r="B422">
        <v>250.37</v>
      </c>
      <c r="C422">
        <v>250.37</v>
      </c>
      <c r="D422">
        <v>250.37</v>
      </c>
      <c r="E422">
        <v>250.37</v>
      </c>
      <c r="F422">
        <v>250.37</v>
      </c>
      <c r="G422">
        <v>250.37</v>
      </c>
      <c r="H422">
        <v>250.37</v>
      </c>
      <c r="I422">
        <v>250.37</v>
      </c>
      <c r="J422">
        <v>250.37</v>
      </c>
      <c r="K422">
        <v>250.37</v>
      </c>
    </row>
    <row r="423" spans="1:13" x14ac:dyDescent="0.3">
      <c r="A423">
        <v>1.77</v>
      </c>
      <c r="B423">
        <v>1.77</v>
      </c>
      <c r="C423">
        <v>1.77</v>
      </c>
      <c r="D423">
        <v>1.77</v>
      </c>
      <c r="E423">
        <v>1.77</v>
      </c>
      <c r="F423">
        <v>1.77</v>
      </c>
      <c r="G423">
        <v>1.77</v>
      </c>
      <c r="H423">
        <v>1.77</v>
      </c>
      <c r="I423">
        <v>1.77</v>
      </c>
      <c r="J423">
        <v>1.77</v>
      </c>
      <c r="K423">
        <v>1.77</v>
      </c>
    </row>
    <row r="424" spans="1:13" x14ac:dyDescent="0.3">
      <c r="A424">
        <v>200</v>
      </c>
      <c r="B424">
        <v>200</v>
      </c>
      <c r="C424">
        <v>200</v>
      </c>
      <c r="D424">
        <v>200</v>
      </c>
      <c r="E424">
        <v>200</v>
      </c>
      <c r="F424">
        <v>200</v>
      </c>
      <c r="G424">
        <v>200</v>
      </c>
      <c r="H424">
        <v>200</v>
      </c>
      <c r="I424">
        <v>200</v>
      </c>
      <c r="J424">
        <v>200</v>
      </c>
      <c r="K424">
        <v>200</v>
      </c>
    </row>
    <row r="425" spans="1:13" x14ac:dyDescent="0.3">
      <c r="A425">
        <v>250.01</v>
      </c>
      <c r="B425">
        <v>250.01</v>
      </c>
      <c r="C425">
        <v>250.01</v>
      </c>
      <c r="D425">
        <v>250.01</v>
      </c>
      <c r="E425">
        <v>250.01</v>
      </c>
      <c r="F425">
        <v>250.01</v>
      </c>
      <c r="G425">
        <v>250.01</v>
      </c>
      <c r="H425">
        <v>250.01</v>
      </c>
      <c r="I425">
        <v>250.01</v>
      </c>
      <c r="J425">
        <v>250.01</v>
      </c>
      <c r="K425">
        <v>250.01</v>
      </c>
    </row>
    <row r="426" spans="1:13" x14ac:dyDescent="0.3">
      <c r="A426">
        <v>250.3</v>
      </c>
      <c r="B426">
        <v>250.3</v>
      </c>
      <c r="C426">
        <v>250.3</v>
      </c>
      <c r="D426">
        <v>250.3</v>
      </c>
      <c r="E426">
        <v>250.3</v>
      </c>
      <c r="F426">
        <v>250.3</v>
      </c>
      <c r="G426">
        <v>250.3</v>
      </c>
      <c r="H426">
        <v>250.3</v>
      </c>
      <c r="I426">
        <v>250.3</v>
      </c>
      <c r="J426">
        <v>250.3</v>
      </c>
      <c r="K426">
        <v>250.3</v>
      </c>
    </row>
    <row r="427" spans="1:13" x14ac:dyDescent="0.3">
      <c r="A427">
        <v>100</v>
      </c>
      <c r="B427">
        <v>100</v>
      </c>
      <c r="C427">
        <v>100</v>
      </c>
      <c r="D427">
        <v>100</v>
      </c>
      <c r="E427">
        <v>100</v>
      </c>
      <c r="F427">
        <v>100</v>
      </c>
      <c r="G427">
        <v>100</v>
      </c>
      <c r="H427">
        <v>100</v>
      </c>
      <c r="I427">
        <v>100</v>
      </c>
      <c r="J427">
        <v>100</v>
      </c>
      <c r="K427">
        <v>100</v>
      </c>
    </row>
    <row r="428" spans="1:13" x14ac:dyDescent="0.3">
      <c r="A428" t="s">
        <v>30</v>
      </c>
      <c r="B428" t="s">
        <v>30</v>
      </c>
      <c r="C428" t="s">
        <v>30</v>
      </c>
      <c r="D428" t="s">
        <v>30</v>
      </c>
      <c r="E428" t="s">
        <v>30</v>
      </c>
      <c r="F428" t="s">
        <v>30</v>
      </c>
      <c r="G428" t="s">
        <v>30</v>
      </c>
      <c r="H428" t="s">
        <v>30</v>
      </c>
      <c r="I428" t="s">
        <v>30</v>
      </c>
      <c r="J428" t="s">
        <v>30</v>
      </c>
      <c r="K428" t="s">
        <v>30</v>
      </c>
    </row>
    <row r="429" spans="1:13" x14ac:dyDescent="0.3">
      <c r="A429">
        <v>2545387</v>
      </c>
      <c r="B429">
        <v>2545387</v>
      </c>
      <c r="C429">
        <v>2545387</v>
      </c>
      <c r="D429">
        <v>2545387</v>
      </c>
      <c r="E429">
        <v>2545387</v>
      </c>
      <c r="F429">
        <v>2545387</v>
      </c>
      <c r="G429">
        <v>2545387</v>
      </c>
      <c r="H429">
        <v>2545387</v>
      </c>
      <c r="I429">
        <v>2545387</v>
      </c>
      <c r="J429">
        <v>2545387</v>
      </c>
      <c r="K429">
        <v>2545387</v>
      </c>
    </row>
    <row r="430" spans="1:13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</row>
    <row r="431" spans="1:13" x14ac:dyDescent="0.3">
      <c r="A431" t="s">
        <v>19</v>
      </c>
      <c r="B431" t="s">
        <v>19</v>
      </c>
      <c r="C431" t="s">
        <v>19</v>
      </c>
      <c r="D431" t="s">
        <v>19</v>
      </c>
      <c r="E431" t="s">
        <v>19</v>
      </c>
      <c r="F431" t="s">
        <v>19</v>
      </c>
      <c r="G431" t="s">
        <v>19</v>
      </c>
      <c r="H431" t="s">
        <v>19</v>
      </c>
      <c r="I431" t="s">
        <v>19</v>
      </c>
      <c r="J431" t="s">
        <v>19</v>
      </c>
      <c r="K431" t="s">
        <v>19</v>
      </c>
    </row>
    <row r="432" spans="1:13" x14ac:dyDescent="0.3">
      <c r="A432" t="s">
        <v>20</v>
      </c>
      <c r="B432" t="s">
        <v>20</v>
      </c>
      <c r="C432" t="s">
        <v>20</v>
      </c>
      <c r="D432" t="s">
        <v>20</v>
      </c>
      <c r="E432" t="s">
        <v>20</v>
      </c>
      <c r="F432" t="s">
        <v>20</v>
      </c>
      <c r="G432" t="s">
        <v>20</v>
      </c>
      <c r="H432" t="s">
        <v>20</v>
      </c>
      <c r="I432" t="s">
        <v>20</v>
      </c>
      <c r="J432" t="s">
        <v>20</v>
      </c>
      <c r="K432" t="s">
        <v>20</v>
      </c>
    </row>
    <row r="433" spans="1:13" x14ac:dyDescent="0.3">
      <c r="A433" t="s">
        <v>15</v>
      </c>
      <c r="B433" t="s">
        <v>15</v>
      </c>
      <c r="C433" t="s">
        <v>15</v>
      </c>
      <c r="D433" t="s">
        <v>15</v>
      </c>
      <c r="E433" t="s">
        <v>15</v>
      </c>
      <c r="F433" t="s">
        <v>15</v>
      </c>
      <c r="G433" t="s">
        <v>15</v>
      </c>
      <c r="H433" t="s">
        <v>15</v>
      </c>
      <c r="I433" t="s">
        <v>15</v>
      </c>
      <c r="J433" t="s">
        <v>15</v>
      </c>
      <c r="K433" t="s">
        <v>15</v>
      </c>
      <c r="L433" t="s">
        <v>16</v>
      </c>
      <c r="M433" t="s">
        <v>17</v>
      </c>
    </row>
    <row r="434" spans="1:13" x14ac:dyDescent="0.3">
      <c r="A434">
        <v>105.645</v>
      </c>
      <c r="B434">
        <v>105.645</v>
      </c>
      <c r="C434">
        <v>105.645</v>
      </c>
      <c r="D434">
        <v>105.645</v>
      </c>
      <c r="E434">
        <v>105.645</v>
      </c>
      <c r="F434">
        <v>105.645</v>
      </c>
      <c r="G434">
        <v>105.645</v>
      </c>
      <c r="H434">
        <v>105.645</v>
      </c>
      <c r="I434">
        <v>105.645</v>
      </c>
      <c r="J434">
        <v>105.645</v>
      </c>
      <c r="K434">
        <v>105.645</v>
      </c>
    </row>
    <row r="435" spans="1:13" x14ac:dyDescent="0.3">
      <c r="A435">
        <v>-0.47</v>
      </c>
      <c r="B435">
        <v>-0.47</v>
      </c>
      <c r="C435">
        <v>-0.47</v>
      </c>
      <c r="D435">
        <v>-0.47</v>
      </c>
      <c r="E435">
        <v>-0.47</v>
      </c>
      <c r="F435">
        <v>-0.47</v>
      </c>
      <c r="G435">
        <v>-0.47</v>
      </c>
      <c r="H435">
        <v>-0.47</v>
      </c>
      <c r="I435">
        <v>-0.47</v>
      </c>
      <c r="J435">
        <v>-0.47</v>
      </c>
      <c r="K435">
        <v>-0.47</v>
      </c>
    </row>
    <row r="436" spans="1:13" x14ac:dyDescent="0.3">
      <c r="A436">
        <v>100</v>
      </c>
      <c r="B436">
        <v>100</v>
      </c>
      <c r="C436">
        <v>100</v>
      </c>
      <c r="D436">
        <v>100</v>
      </c>
      <c r="E436">
        <v>100</v>
      </c>
      <c r="F436">
        <v>100</v>
      </c>
      <c r="G436">
        <v>100</v>
      </c>
      <c r="H436">
        <v>100</v>
      </c>
      <c r="I436">
        <v>100</v>
      </c>
      <c r="J436">
        <v>100</v>
      </c>
      <c r="K436">
        <v>100</v>
      </c>
    </row>
    <row r="437" spans="1:13" x14ac:dyDescent="0.3">
      <c r="A437">
        <v>105.18</v>
      </c>
      <c r="B437">
        <v>105.18</v>
      </c>
      <c r="C437">
        <v>105.18</v>
      </c>
      <c r="D437">
        <v>105.18</v>
      </c>
      <c r="E437">
        <v>105.18</v>
      </c>
      <c r="F437">
        <v>105.18</v>
      </c>
      <c r="G437">
        <v>105.18</v>
      </c>
      <c r="H437">
        <v>105.18</v>
      </c>
      <c r="I437">
        <v>105.18</v>
      </c>
      <c r="J437">
        <v>105.18</v>
      </c>
      <c r="K437">
        <v>105.18</v>
      </c>
    </row>
    <row r="438" spans="1:13" x14ac:dyDescent="0.3">
      <c r="A438">
        <v>105.8</v>
      </c>
      <c r="B438">
        <v>105.8</v>
      </c>
      <c r="C438">
        <v>105.8</v>
      </c>
      <c r="D438">
        <v>105.8</v>
      </c>
      <c r="E438">
        <v>105.8</v>
      </c>
      <c r="F438">
        <v>105.8</v>
      </c>
      <c r="G438">
        <v>105.8</v>
      </c>
      <c r="H438">
        <v>105.8</v>
      </c>
      <c r="I438">
        <v>105.8</v>
      </c>
      <c r="J438">
        <v>105.8</v>
      </c>
      <c r="K438">
        <v>105.8</v>
      </c>
    </row>
    <row r="439" spans="1:13" x14ac:dyDescent="0.3">
      <c r="A439">
        <v>500</v>
      </c>
      <c r="B439">
        <v>500</v>
      </c>
      <c r="C439">
        <v>500</v>
      </c>
      <c r="D439">
        <v>500</v>
      </c>
      <c r="E439">
        <v>500</v>
      </c>
      <c r="F439">
        <v>500</v>
      </c>
      <c r="G439">
        <v>500</v>
      </c>
      <c r="H439">
        <v>500</v>
      </c>
      <c r="I439">
        <v>500</v>
      </c>
      <c r="J439">
        <v>500</v>
      </c>
      <c r="K439">
        <v>500</v>
      </c>
    </row>
    <row r="440" spans="1:13" x14ac:dyDescent="0.3">
      <c r="A440" t="s">
        <v>27</v>
      </c>
      <c r="B440" t="s">
        <v>27</v>
      </c>
      <c r="C440" t="s">
        <v>27</v>
      </c>
      <c r="D440" t="s">
        <v>27</v>
      </c>
      <c r="E440" t="s">
        <v>27</v>
      </c>
      <c r="F440" t="s">
        <v>27</v>
      </c>
      <c r="G440" t="s">
        <v>27</v>
      </c>
      <c r="H440" t="s">
        <v>27</v>
      </c>
      <c r="I440" t="s">
        <v>27</v>
      </c>
      <c r="J440" t="s">
        <v>27</v>
      </c>
      <c r="K440" t="s">
        <v>27</v>
      </c>
    </row>
    <row r="441" spans="1:13" x14ac:dyDescent="0.3">
      <c r="A441">
        <v>1611644</v>
      </c>
      <c r="B441">
        <v>1611644</v>
      </c>
      <c r="C441">
        <v>1611644</v>
      </c>
      <c r="D441">
        <v>1611644</v>
      </c>
      <c r="E441">
        <v>1611644</v>
      </c>
      <c r="F441">
        <v>1611644</v>
      </c>
      <c r="G441">
        <v>1611644</v>
      </c>
      <c r="H441">
        <v>1611644</v>
      </c>
      <c r="I441">
        <v>1611644</v>
      </c>
      <c r="J441">
        <v>1611644</v>
      </c>
      <c r="K441">
        <v>1611644</v>
      </c>
    </row>
    <row r="442" spans="1:13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1:13" x14ac:dyDescent="0.3">
      <c r="A443" t="s">
        <v>19</v>
      </c>
      <c r="B443" t="s">
        <v>19</v>
      </c>
      <c r="C443" t="s">
        <v>19</v>
      </c>
      <c r="D443" t="s">
        <v>19</v>
      </c>
      <c r="E443" t="s">
        <v>19</v>
      </c>
      <c r="F443" t="s">
        <v>19</v>
      </c>
      <c r="G443" t="s">
        <v>19</v>
      </c>
      <c r="H443" t="s">
        <v>19</v>
      </c>
      <c r="I443" t="s">
        <v>19</v>
      </c>
      <c r="J443" t="s">
        <v>19</v>
      </c>
      <c r="K443" t="s">
        <v>19</v>
      </c>
    </row>
    <row r="444" spans="1:13" x14ac:dyDescent="0.3">
      <c r="A444" t="s">
        <v>20</v>
      </c>
      <c r="B444" t="s">
        <v>20</v>
      </c>
      <c r="C444" t="s">
        <v>20</v>
      </c>
      <c r="D444" t="s">
        <v>20</v>
      </c>
      <c r="E444" t="s">
        <v>20</v>
      </c>
      <c r="F444" t="s">
        <v>20</v>
      </c>
      <c r="G444" t="s">
        <v>20</v>
      </c>
      <c r="H444" t="s">
        <v>20</v>
      </c>
      <c r="I444" t="s">
        <v>20</v>
      </c>
      <c r="J444" t="s">
        <v>20</v>
      </c>
      <c r="K444" t="s">
        <v>20</v>
      </c>
    </row>
    <row r="445" spans="1:13" x14ac:dyDescent="0.3">
      <c r="A445" t="s">
        <v>15</v>
      </c>
      <c r="B445" t="s">
        <v>15</v>
      </c>
      <c r="C445" t="s">
        <v>15</v>
      </c>
      <c r="D445" t="s">
        <v>15</v>
      </c>
      <c r="E445" t="s">
        <v>15</v>
      </c>
      <c r="F445" t="s">
        <v>15</v>
      </c>
      <c r="G445" t="s">
        <v>15</v>
      </c>
      <c r="H445" t="s">
        <v>15</v>
      </c>
      <c r="I445" t="s">
        <v>15</v>
      </c>
      <c r="J445" t="s">
        <v>15</v>
      </c>
      <c r="K445" t="s">
        <v>15</v>
      </c>
      <c r="L445" t="s">
        <v>16</v>
      </c>
      <c r="M445" t="s">
        <v>17</v>
      </c>
    </row>
    <row r="446" spans="1:13" x14ac:dyDescent="0.3">
      <c r="A446">
        <v>62.23</v>
      </c>
      <c r="B446">
        <v>62.23</v>
      </c>
      <c r="C446">
        <v>62.23</v>
      </c>
      <c r="D446">
        <v>62.23</v>
      </c>
      <c r="E446">
        <v>62.23</v>
      </c>
      <c r="F446">
        <v>62.23</v>
      </c>
      <c r="G446">
        <v>62.23</v>
      </c>
      <c r="H446">
        <v>62.23</v>
      </c>
      <c r="I446">
        <v>62.23</v>
      </c>
      <c r="J446">
        <v>62.23</v>
      </c>
      <c r="K446">
        <v>62.23</v>
      </c>
    </row>
    <row r="447" spans="1:13" x14ac:dyDescent="0.3">
      <c r="A447">
        <v>1.82</v>
      </c>
      <c r="B447">
        <v>1.82</v>
      </c>
      <c r="C447">
        <v>1.82</v>
      </c>
      <c r="D447">
        <v>1.82</v>
      </c>
      <c r="E447">
        <v>1.82</v>
      </c>
      <c r="F447">
        <v>1.82</v>
      </c>
      <c r="G447">
        <v>1.82</v>
      </c>
      <c r="H447">
        <v>1.82</v>
      </c>
      <c r="I447">
        <v>1.82</v>
      </c>
      <c r="J447">
        <v>1.82</v>
      </c>
      <c r="K447">
        <v>1.82</v>
      </c>
    </row>
    <row r="448" spans="1:13" x14ac:dyDescent="0.3">
      <c r="A448">
        <v>700</v>
      </c>
      <c r="B448">
        <v>700</v>
      </c>
      <c r="C448">
        <v>700</v>
      </c>
      <c r="D448">
        <v>700</v>
      </c>
      <c r="E448">
        <v>700</v>
      </c>
      <c r="F448">
        <v>700</v>
      </c>
      <c r="G448">
        <v>700</v>
      </c>
      <c r="H448">
        <v>700</v>
      </c>
      <c r="I448">
        <v>700</v>
      </c>
      <c r="J448">
        <v>700</v>
      </c>
      <c r="K448">
        <v>700</v>
      </c>
    </row>
    <row r="449" spans="1:13" x14ac:dyDescent="0.3">
      <c r="A449">
        <v>62.3</v>
      </c>
      <c r="B449">
        <v>62.3</v>
      </c>
      <c r="C449">
        <v>62.3</v>
      </c>
      <c r="D449">
        <v>62.3</v>
      </c>
      <c r="E449">
        <v>62.3</v>
      </c>
      <c r="F449">
        <v>62.3</v>
      </c>
      <c r="G449">
        <v>62.3</v>
      </c>
      <c r="H449">
        <v>62.3</v>
      </c>
      <c r="I449">
        <v>62.3</v>
      </c>
      <c r="J449">
        <v>62.3</v>
      </c>
      <c r="K449">
        <v>62.3</v>
      </c>
    </row>
    <row r="450" spans="1:13" x14ac:dyDescent="0.3">
      <c r="A450">
        <v>62.38</v>
      </c>
      <c r="B450">
        <v>62.38</v>
      </c>
      <c r="C450">
        <v>62.38</v>
      </c>
      <c r="D450">
        <v>62.38</v>
      </c>
      <c r="E450">
        <v>62.38</v>
      </c>
      <c r="F450">
        <v>62.38</v>
      </c>
      <c r="G450">
        <v>62.38</v>
      </c>
      <c r="H450">
        <v>62.38</v>
      </c>
      <c r="I450">
        <v>62.38</v>
      </c>
      <c r="J450">
        <v>62.38</v>
      </c>
      <c r="K450">
        <v>62.38</v>
      </c>
    </row>
    <row r="451" spans="1:13" x14ac:dyDescent="0.3">
      <c r="A451">
        <v>500</v>
      </c>
      <c r="B451">
        <v>500</v>
      </c>
      <c r="C451">
        <v>500</v>
      </c>
      <c r="D451">
        <v>500</v>
      </c>
      <c r="E451">
        <v>500</v>
      </c>
      <c r="F451">
        <v>500</v>
      </c>
      <c r="G451">
        <v>500</v>
      </c>
      <c r="H451">
        <v>500</v>
      </c>
      <c r="I451">
        <v>500</v>
      </c>
      <c r="J451">
        <v>500</v>
      </c>
      <c r="K451">
        <v>500</v>
      </c>
    </row>
    <row r="452" spans="1:13" x14ac:dyDescent="0.3">
      <c r="A452" t="s">
        <v>39</v>
      </c>
      <c r="B452" t="s">
        <v>39</v>
      </c>
      <c r="C452" t="s">
        <v>39</v>
      </c>
      <c r="D452" t="s">
        <v>39</v>
      </c>
      <c r="E452" t="s">
        <v>39</v>
      </c>
      <c r="F452" t="s">
        <v>39</v>
      </c>
      <c r="G452" t="s">
        <v>39</v>
      </c>
      <c r="H452" t="s">
        <v>39</v>
      </c>
      <c r="I452" t="s">
        <v>39</v>
      </c>
      <c r="J452" t="s">
        <v>39</v>
      </c>
      <c r="K452" t="s">
        <v>39</v>
      </c>
    </row>
    <row r="453" spans="1:13" x14ac:dyDescent="0.3">
      <c r="A453">
        <v>12682785</v>
      </c>
      <c r="B453">
        <v>12682785</v>
      </c>
      <c r="C453">
        <v>12682785</v>
      </c>
      <c r="D453">
        <v>12682785</v>
      </c>
      <c r="E453">
        <v>12682785</v>
      </c>
      <c r="F453">
        <v>12682785</v>
      </c>
      <c r="G453">
        <v>12682785</v>
      </c>
      <c r="H453">
        <v>12682785</v>
      </c>
      <c r="I453">
        <v>12682785</v>
      </c>
      <c r="J453">
        <v>12682785</v>
      </c>
      <c r="K453">
        <v>12682785</v>
      </c>
    </row>
    <row r="454" spans="1:13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</row>
    <row r="455" spans="1:13" x14ac:dyDescent="0.3">
      <c r="A455" t="s">
        <v>19</v>
      </c>
      <c r="B455" t="s">
        <v>19</v>
      </c>
      <c r="C455" t="s">
        <v>19</v>
      </c>
      <c r="D455" t="s">
        <v>19</v>
      </c>
      <c r="E455" t="s">
        <v>19</v>
      </c>
      <c r="F455" t="s">
        <v>19</v>
      </c>
      <c r="G455" t="s">
        <v>19</v>
      </c>
      <c r="H455" t="s">
        <v>19</v>
      </c>
      <c r="I455" t="s">
        <v>19</v>
      </c>
      <c r="J455" t="s">
        <v>19</v>
      </c>
      <c r="K455" t="s">
        <v>19</v>
      </c>
    </row>
    <row r="456" spans="1:13" x14ac:dyDescent="0.3">
      <c r="A456" t="s">
        <v>28</v>
      </c>
      <c r="B456" t="s">
        <v>28</v>
      </c>
      <c r="C456" t="s">
        <v>28</v>
      </c>
      <c r="D456" t="s">
        <v>28</v>
      </c>
      <c r="E456" t="s">
        <v>28</v>
      </c>
      <c r="F456" t="s">
        <v>28</v>
      </c>
      <c r="G456" t="s">
        <v>28</v>
      </c>
      <c r="H456" t="s">
        <v>28</v>
      </c>
      <c r="I456" t="s">
        <v>28</v>
      </c>
      <c r="J456" t="s">
        <v>28</v>
      </c>
      <c r="K456" t="s">
        <v>28</v>
      </c>
    </row>
    <row r="457" spans="1:13" x14ac:dyDescent="0.3">
      <c r="A457" t="s">
        <v>15</v>
      </c>
      <c r="B457" t="s">
        <v>15</v>
      </c>
      <c r="C457" t="s">
        <v>15</v>
      </c>
      <c r="D457" t="s">
        <v>15</v>
      </c>
      <c r="E457" t="s">
        <v>15</v>
      </c>
      <c r="F457" t="s">
        <v>15</v>
      </c>
      <c r="G457" t="s">
        <v>15</v>
      </c>
      <c r="H457" t="s">
        <v>15</v>
      </c>
      <c r="I457" t="s">
        <v>15</v>
      </c>
      <c r="J457" t="s">
        <v>15</v>
      </c>
      <c r="K457" t="s">
        <v>15</v>
      </c>
      <c r="L457" t="s">
        <v>16</v>
      </c>
      <c r="M457" t="s">
        <v>17</v>
      </c>
    </row>
    <row r="458" spans="1:13" x14ac:dyDescent="0.3">
      <c r="A458">
        <v>141.22</v>
      </c>
      <c r="B458">
        <v>141.22</v>
      </c>
      <c r="C458">
        <v>141.22</v>
      </c>
      <c r="D458">
        <v>141.22</v>
      </c>
      <c r="E458">
        <v>141.22</v>
      </c>
      <c r="F458">
        <v>141.22</v>
      </c>
      <c r="G458">
        <v>141.22</v>
      </c>
      <c r="H458">
        <v>141.22</v>
      </c>
      <c r="I458">
        <v>141.22</v>
      </c>
      <c r="J458">
        <v>141.22</v>
      </c>
      <c r="K458">
        <v>141.22</v>
      </c>
    </row>
    <row r="459" spans="1:13" x14ac:dyDescent="0.3">
      <c r="A459">
        <v>1.87</v>
      </c>
      <c r="B459">
        <v>1.87</v>
      </c>
      <c r="C459">
        <v>1.87</v>
      </c>
      <c r="D459">
        <v>1.87</v>
      </c>
      <c r="E459">
        <v>1.87</v>
      </c>
      <c r="F459">
        <v>1.87</v>
      </c>
      <c r="G459">
        <v>1.87</v>
      </c>
      <c r="H459">
        <v>1.87</v>
      </c>
      <c r="I459">
        <v>1.87</v>
      </c>
      <c r="J459">
        <v>1.87</v>
      </c>
      <c r="K459">
        <v>1.87</v>
      </c>
    </row>
    <row r="460" spans="1:13" x14ac:dyDescent="0.3">
      <c r="A460">
        <v>200</v>
      </c>
      <c r="B460">
        <v>200</v>
      </c>
      <c r="C460">
        <v>200</v>
      </c>
      <c r="D460">
        <v>200</v>
      </c>
      <c r="E460">
        <v>200</v>
      </c>
      <c r="F460">
        <v>200</v>
      </c>
      <c r="G460">
        <v>200</v>
      </c>
      <c r="H460">
        <v>200</v>
      </c>
      <c r="I460">
        <v>200</v>
      </c>
      <c r="J460">
        <v>200</v>
      </c>
      <c r="K460">
        <v>200</v>
      </c>
    </row>
    <row r="461" spans="1:13" x14ac:dyDescent="0.3">
      <c r="A461">
        <v>139.62</v>
      </c>
      <c r="B461">
        <v>139.62</v>
      </c>
      <c r="C461">
        <v>139.62</v>
      </c>
      <c r="D461">
        <v>139.62</v>
      </c>
      <c r="E461">
        <v>139.62</v>
      </c>
      <c r="F461">
        <v>139.62</v>
      </c>
      <c r="G461">
        <v>139.62</v>
      </c>
      <c r="H461">
        <v>139.62</v>
      </c>
      <c r="I461">
        <v>139.62</v>
      </c>
      <c r="J461">
        <v>139.62</v>
      </c>
      <c r="K461">
        <v>139.62</v>
      </c>
    </row>
    <row r="462" spans="1:13" x14ac:dyDescent="0.3">
      <c r="A462">
        <v>141.79</v>
      </c>
      <c r="B462">
        <v>141.79</v>
      </c>
      <c r="C462">
        <v>141.79</v>
      </c>
      <c r="D462">
        <v>141.79</v>
      </c>
      <c r="E462">
        <v>141.79</v>
      </c>
      <c r="F462">
        <v>141.79</v>
      </c>
      <c r="G462">
        <v>141.79</v>
      </c>
      <c r="H462">
        <v>141.79</v>
      </c>
      <c r="I462">
        <v>141.79</v>
      </c>
      <c r="J462">
        <v>141.79</v>
      </c>
      <c r="K462">
        <v>141.79</v>
      </c>
    </row>
    <row r="463" spans="1:13" x14ac:dyDescent="0.3">
      <c r="A463">
        <v>100</v>
      </c>
      <c r="B463">
        <v>100</v>
      </c>
      <c r="C463">
        <v>100</v>
      </c>
      <c r="D463">
        <v>100</v>
      </c>
      <c r="E463">
        <v>100</v>
      </c>
      <c r="F463">
        <v>100</v>
      </c>
      <c r="G463">
        <v>100</v>
      </c>
      <c r="H463">
        <v>100</v>
      </c>
      <c r="I463">
        <v>100</v>
      </c>
      <c r="J463">
        <v>100</v>
      </c>
      <c r="K463">
        <v>100</v>
      </c>
    </row>
    <row r="464" spans="1:13" x14ac:dyDescent="0.3">
      <c r="A464" t="s">
        <v>38</v>
      </c>
      <c r="B464" t="s">
        <v>38</v>
      </c>
      <c r="C464" t="s">
        <v>38</v>
      </c>
      <c r="D464" t="s">
        <v>38</v>
      </c>
      <c r="E464" t="s">
        <v>38</v>
      </c>
      <c r="F464" t="s">
        <v>38</v>
      </c>
      <c r="G464" t="s">
        <v>38</v>
      </c>
      <c r="H464" t="s">
        <v>38</v>
      </c>
      <c r="I464" t="s">
        <v>38</v>
      </c>
      <c r="J464" t="s">
        <v>38</v>
      </c>
      <c r="K464" t="s">
        <v>38</v>
      </c>
    </row>
    <row r="465" spans="1:13" x14ac:dyDescent="0.3">
      <c r="A465">
        <v>3792852</v>
      </c>
      <c r="B465">
        <v>3792852</v>
      </c>
      <c r="C465">
        <v>3792852</v>
      </c>
      <c r="D465">
        <v>3792852</v>
      </c>
      <c r="E465">
        <v>3792852</v>
      </c>
      <c r="F465">
        <v>3792852</v>
      </c>
      <c r="G465">
        <v>3792852</v>
      </c>
      <c r="H465">
        <v>3792852</v>
      </c>
      <c r="I465">
        <v>3792852</v>
      </c>
      <c r="J465">
        <v>3792852</v>
      </c>
      <c r="K465">
        <v>3792852</v>
      </c>
    </row>
    <row r="466" spans="1:13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1:13" x14ac:dyDescent="0.3">
      <c r="A467" t="s">
        <v>19</v>
      </c>
      <c r="B467" t="s">
        <v>19</v>
      </c>
      <c r="C467" t="s">
        <v>19</v>
      </c>
      <c r="D467" t="s">
        <v>19</v>
      </c>
      <c r="E467" t="s">
        <v>19</v>
      </c>
      <c r="F467" t="s">
        <v>19</v>
      </c>
      <c r="G467" t="s">
        <v>19</v>
      </c>
      <c r="H467" t="s">
        <v>19</v>
      </c>
      <c r="I467" t="s">
        <v>19</v>
      </c>
      <c r="J467" t="s">
        <v>19</v>
      </c>
      <c r="K467" t="s">
        <v>19</v>
      </c>
    </row>
    <row r="468" spans="1:13" x14ac:dyDescent="0.3">
      <c r="A468" t="s">
        <v>20</v>
      </c>
      <c r="B468" t="s">
        <v>20</v>
      </c>
      <c r="C468" t="s">
        <v>20</v>
      </c>
      <c r="D468" t="s">
        <v>20</v>
      </c>
      <c r="E468" t="s">
        <v>20</v>
      </c>
      <c r="F468" t="s">
        <v>20</v>
      </c>
      <c r="G468" t="s">
        <v>20</v>
      </c>
      <c r="H468" t="s">
        <v>20</v>
      </c>
      <c r="I468" t="s">
        <v>20</v>
      </c>
      <c r="J468" t="s">
        <v>20</v>
      </c>
      <c r="K468" t="s">
        <v>20</v>
      </c>
    </row>
    <row r="469" spans="1:13" x14ac:dyDescent="0.3">
      <c r="A469" t="s">
        <v>15</v>
      </c>
      <c r="B469" t="s">
        <v>15</v>
      </c>
      <c r="C469" t="s">
        <v>15</v>
      </c>
      <c r="D469" t="s">
        <v>15</v>
      </c>
      <c r="E469" t="s">
        <v>15</v>
      </c>
      <c r="F469" t="s">
        <v>15</v>
      </c>
      <c r="G469" t="s">
        <v>15</v>
      </c>
      <c r="H469" t="s">
        <v>15</v>
      </c>
      <c r="I469" t="s">
        <v>15</v>
      </c>
      <c r="J469" t="s">
        <v>15</v>
      </c>
      <c r="K469" t="s">
        <v>15</v>
      </c>
      <c r="L469" t="s">
        <v>16</v>
      </c>
      <c r="M469" t="s">
        <v>17</v>
      </c>
    </row>
    <row r="470" spans="1:13" x14ac:dyDescent="0.3">
      <c r="A470">
        <v>43.68</v>
      </c>
      <c r="B470">
        <v>43.68</v>
      </c>
      <c r="C470">
        <v>43.68</v>
      </c>
      <c r="D470">
        <v>43.68</v>
      </c>
      <c r="E470">
        <v>43.68</v>
      </c>
      <c r="F470">
        <v>43.68</v>
      </c>
      <c r="G470">
        <v>43.68</v>
      </c>
      <c r="H470">
        <v>43.68</v>
      </c>
      <c r="I470">
        <v>43.68</v>
      </c>
      <c r="J470">
        <v>43.68</v>
      </c>
      <c r="K470">
        <v>43.68</v>
      </c>
    </row>
    <row r="471" spans="1:13" x14ac:dyDescent="0.3">
      <c r="A471">
        <v>0.02</v>
      </c>
      <c r="B471">
        <v>0.02</v>
      </c>
      <c r="C471">
        <v>0.02</v>
      </c>
      <c r="D471">
        <v>0.02</v>
      </c>
      <c r="E471">
        <v>0.02</v>
      </c>
      <c r="F471">
        <v>0.02</v>
      </c>
      <c r="G471">
        <v>0.02</v>
      </c>
      <c r="H471">
        <v>0.02</v>
      </c>
      <c r="I471">
        <v>0.02</v>
      </c>
      <c r="J471">
        <v>0.02</v>
      </c>
      <c r="K471">
        <v>0.02</v>
      </c>
    </row>
    <row r="472" spans="1:13" x14ac:dyDescent="0.3">
      <c r="A472">
        <v>600</v>
      </c>
      <c r="B472">
        <v>600</v>
      </c>
      <c r="C472">
        <v>600</v>
      </c>
      <c r="D472">
        <v>600</v>
      </c>
      <c r="E472">
        <v>600</v>
      </c>
      <c r="F472">
        <v>600</v>
      </c>
      <c r="G472">
        <v>600</v>
      </c>
      <c r="H472">
        <v>600</v>
      </c>
      <c r="I472">
        <v>600</v>
      </c>
      <c r="J472">
        <v>600</v>
      </c>
      <c r="K472">
        <v>600</v>
      </c>
    </row>
    <row r="473" spans="1:13" x14ac:dyDescent="0.3">
      <c r="A473">
        <v>43.39</v>
      </c>
      <c r="B473">
        <v>43.39</v>
      </c>
      <c r="C473">
        <v>43.39</v>
      </c>
      <c r="D473">
        <v>43.39</v>
      </c>
      <c r="E473">
        <v>43.39</v>
      </c>
      <c r="F473">
        <v>43.39</v>
      </c>
      <c r="G473">
        <v>43.39</v>
      </c>
      <c r="H473">
        <v>43.39</v>
      </c>
      <c r="I473">
        <v>43.39</v>
      </c>
      <c r="J473">
        <v>43.39</v>
      </c>
      <c r="K473">
        <v>43.39</v>
      </c>
    </row>
    <row r="474" spans="1:13" x14ac:dyDescent="0.3">
      <c r="A474">
        <v>43.97</v>
      </c>
      <c r="B474">
        <v>43.97</v>
      </c>
      <c r="C474">
        <v>43.97</v>
      </c>
      <c r="D474">
        <v>43.97</v>
      </c>
      <c r="E474">
        <v>43.97</v>
      </c>
      <c r="F474">
        <v>43.97</v>
      </c>
      <c r="G474">
        <v>43.97</v>
      </c>
      <c r="H474">
        <v>43.97</v>
      </c>
      <c r="I474">
        <v>43.97</v>
      </c>
      <c r="J474">
        <v>43.97</v>
      </c>
      <c r="K474">
        <v>43.97</v>
      </c>
    </row>
    <row r="475" spans="1:13" x14ac:dyDescent="0.3">
      <c r="A475">
        <v>600</v>
      </c>
      <c r="B475">
        <v>600</v>
      </c>
      <c r="C475">
        <v>600</v>
      </c>
      <c r="D475">
        <v>600</v>
      </c>
      <c r="E475">
        <v>600</v>
      </c>
      <c r="F475">
        <v>600</v>
      </c>
      <c r="G475">
        <v>600</v>
      </c>
      <c r="H475">
        <v>600</v>
      </c>
      <c r="I475">
        <v>600</v>
      </c>
      <c r="J475">
        <v>600</v>
      </c>
      <c r="K475">
        <v>600</v>
      </c>
    </row>
    <row r="476" spans="1:13" x14ac:dyDescent="0.3">
      <c r="A476" t="s">
        <v>25</v>
      </c>
      <c r="B476" t="s">
        <v>25</v>
      </c>
      <c r="C476" t="s">
        <v>25</v>
      </c>
      <c r="D476" t="s">
        <v>25</v>
      </c>
      <c r="E476" t="s">
        <v>25</v>
      </c>
      <c r="F476" t="s">
        <v>25</v>
      </c>
      <c r="G476" t="s">
        <v>25</v>
      </c>
      <c r="H476" t="s">
        <v>25</v>
      </c>
      <c r="I476" t="s">
        <v>25</v>
      </c>
      <c r="J476" t="s">
        <v>25</v>
      </c>
      <c r="K476" t="s">
        <v>25</v>
      </c>
    </row>
    <row r="477" spans="1:13" x14ac:dyDescent="0.3">
      <c r="A477">
        <v>3966074</v>
      </c>
      <c r="B477">
        <v>3966074</v>
      </c>
      <c r="C477">
        <v>3966074</v>
      </c>
      <c r="D477">
        <v>3966074</v>
      </c>
      <c r="E477">
        <v>3966074</v>
      </c>
      <c r="F477">
        <v>3966074</v>
      </c>
      <c r="G477">
        <v>3966074</v>
      </c>
      <c r="H477">
        <v>3966074</v>
      </c>
      <c r="I477">
        <v>3966074</v>
      </c>
      <c r="J477">
        <v>3966074</v>
      </c>
      <c r="K477">
        <v>3966074</v>
      </c>
    </row>
    <row r="478" spans="1:13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</row>
    <row r="479" spans="1:13" x14ac:dyDescent="0.3">
      <c r="A479" t="s">
        <v>19</v>
      </c>
      <c r="B479" t="s">
        <v>19</v>
      </c>
      <c r="C479" t="s">
        <v>19</v>
      </c>
      <c r="D479" t="s">
        <v>19</v>
      </c>
      <c r="E479" t="s">
        <v>19</v>
      </c>
      <c r="F479" t="s">
        <v>19</v>
      </c>
      <c r="G479" t="s">
        <v>19</v>
      </c>
      <c r="H479" t="s">
        <v>19</v>
      </c>
      <c r="I479" t="s">
        <v>19</v>
      </c>
      <c r="J479" t="s">
        <v>19</v>
      </c>
      <c r="K479" t="s">
        <v>19</v>
      </c>
    </row>
    <row r="480" spans="1:13" x14ac:dyDescent="0.3">
      <c r="A480" t="s">
        <v>20</v>
      </c>
      <c r="B480" t="s">
        <v>20</v>
      </c>
      <c r="C480" t="s">
        <v>20</v>
      </c>
      <c r="D480" t="s">
        <v>20</v>
      </c>
      <c r="E480" t="s">
        <v>20</v>
      </c>
      <c r="F480" t="s">
        <v>20</v>
      </c>
      <c r="G480" t="s">
        <v>20</v>
      </c>
      <c r="H480" t="s">
        <v>20</v>
      </c>
      <c r="I480" t="s">
        <v>20</v>
      </c>
      <c r="J480" t="s">
        <v>20</v>
      </c>
      <c r="K480" t="s">
        <v>20</v>
      </c>
    </row>
    <row r="481" spans="1:13" x14ac:dyDescent="0.3">
      <c r="A481" t="s">
        <v>15</v>
      </c>
      <c r="B481" t="s">
        <v>15</v>
      </c>
      <c r="C481" t="s">
        <v>15</v>
      </c>
      <c r="D481" t="s">
        <v>15</v>
      </c>
      <c r="E481" t="s">
        <v>15</v>
      </c>
      <c r="F481" t="s">
        <v>15</v>
      </c>
      <c r="G481" t="s">
        <v>15</v>
      </c>
      <c r="H481" t="s">
        <v>15</v>
      </c>
      <c r="I481" t="s">
        <v>15</v>
      </c>
      <c r="J481" t="s">
        <v>15</v>
      </c>
      <c r="K481" t="s">
        <v>15</v>
      </c>
      <c r="L481" t="s">
        <v>16</v>
      </c>
      <c r="M481" t="s">
        <v>17</v>
      </c>
    </row>
    <row r="482" spans="1:13" x14ac:dyDescent="0.3">
      <c r="A482">
        <v>268.10000000000002</v>
      </c>
      <c r="B482">
        <v>268.10000000000002</v>
      </c>
      <c r="C482">
        <v>268.10000000000002</v>
      </c>
      <c r="D482">
        <v>268.10000000000002</v>
      </c>
      <c r="E482">
        <v>268.10000000000002</v>
      </c>
      <c r="F482">
        <v>268.10000000000002</v>
      </c>
      <c r="G482">
        <v>268.10000000000002</v>
      </c>
      <c r="H482">
        <v>268.10000000000002</v>
      </c>
      <c r="I482">
        <v>268.10000000000002</v>
      </c>
      <c r="J482">
        <v>268.10000000000002</v>
      </c>
      <c r="K482">
        <v>268.10000000000002</v>
      </c>
    </row>
    <row r="483" spans="1:13" x14ac:dyDescent="0.3">
      <c r="A483">
        <v>0.6</v>
      </c>
      <c r="B483">
        <v>0.6</v>
      </c>
      <c r="C483">
        <v>0.6</v>
      </c>
      <c r="D483">
        <v>0.6</v>
      </c>
      <c r="E483">
        <v>0.6</v>
      </c>
      <c r="F483">
        <v>0.6</v>
      </c>
      <c r="G483">
        <v>0.6</v>
      </c>
      <c r="H483">
        <v>0.6</v>
      </c>
      <c r="I483">
        <v>0.6</v>
      </c>
      <c r="J483">
        <v>0.6</v>
      </c>
      <c r="K483">
        <v>0.6</v>
      </c>
    </row>
    <row r="484" spans="1:13" x14ac:dyDescent="0.3">
      <c r="A484">
        <v>100</v>
      </c>
      <c r="B484">
        <v>100</v>
      </c>
      <c r="C484">
        <v>100</v>
      </c>
      <c r="D484">
        <v>100</v>
      </c>
      <c r="E484">
        <v>100</v>
      </c>
      <c r="F484">
        <v>100</v>
      </c>
      <c r="G484">
        <v>100</v>
      </c>
      <c r="H484">
        <v>100</v>
      </c>
      <c r="I484">
        <v>100</v>
      </c>
      <c r="J484">
        <v>100</v>
      </c>
      <c r="K484">
        <v>100</v>
      </c>
    </row>
    <row r="485" spans="1:13" x14ac:dyDescent="0.3">
      <c r="A485">
        <v>267.83</v>
      </c>
      <c r="B485">
        <v>267.83</v>
      </c>
      <c r="C485">
        <v>267.83</v>
      </c>
      <c r="D485">
        <v>267.83</v>
      </c>
      <c r="E485">
        <v>267.83</v>
      </c>
      <c r="F485">
        <v>267.83</v>
      </c>
      <c r="G485">
        <v>267.83</v>
      </c>
      <c r="H485">
        <v>267.83</v>
      </c>
      <c r="I485">
        <v>267.83</v>
      </c>
      <c r="J485">
        <v>267.83</v>
      </c>
      <c r="K485">
        <v>267.83</v>
      </c>
    </row>
    <row r="486" spans="1:13" x14ac:dyDescent="0.3">
      <c r="A486">
        <v>268.10000000000002</v>
      </c>
      <c r="B486">
        <v>268.10000000000002</v>
      </c>
      <c r="C486">
        <v>268.10000000000002</v>
      </c>
      <c r="D486">
        <v>268.10000000000002</v>
      </c>
      <c r="E486">
        <v>268.10000000000002</v>
      </c>
      <c r="F486">
        <v>268.10000000000002</v>
      </c>
      <c r="G486">
        <v>268.10000000000002</v>
      </c>
      <c r="H486">
        <v>268.10000000000002</v>
      </c>
      <c r="I486">
        <v>268.10000000000002</v>
      </c>
      <c r="J486">
        <v>268.10000000000002</v>
      </c>
      <c r="K486">
        <v>268.10000000000002</v>
      </c>
    </row>
    <row r="487" spans="1:13" x14ac:dyDescent="0.3">
      <c r="A487">
        <v>400</v>
      </c>
      <c r="B487">
        <v>400</v>
      </c>
      <c r="C487">
        <v>400</v>
      </c>
      <c r="D487">
        <v>400</v>
      </c>
      <c r="E487">
        <v>400</v>
      </c>
      <c r="F487">
        <v>400</v>
      </c>
      <c r="G487">
        <v>400</v>
      </c>
      <c r="H487">
        <v>400</v>
      </c>
      <c r="I487">
        <v>400</v>
      </c>
      <c r="J487">
        <v>400</v>
      </c>
      <c r="K487">
        <v>400</v>
      </c>
    </row>
    <row r="488" spans="1:13" x14ac:dyDescent="0.3">
      <c r="A488" t="s">
        <v>45</v>
      </c>
      <c r="B488" t="s">
        <v>45</v>
      </c>
      <c r="C488" t="s">
        <v>45</v>
      </c>
      <c r="D488" t="s">
        <v>45</v>
      </c>
      <c r="E488" t="s">
        <v>45</v>
      </c>
      <c r="F488" t="s">
        <v>45</v>
      </c>
      <c r="G488" t="s">
        <v>45</v>
      </c>
      <c r="H488" t="s">
        <v>45</v>
      </c>
      <c r="I488" t="s">
        <v>45</v>
      </c>
      <c r="J488" t="s">
        <v>45</v>
      </c>
      <c r="K488" t="s">
        <v>45</v>
      </c>
    </row>
    <row r="489" spans="1:13" x14ac:dyDescent="0.3">
      <c r="A489">
        <v>12110956</v>
      </c>
      <c r="B489">
        <v>12110956</v>
      </c>
      <c r="C489">
        <v>12110956</v>
      </c>
      <c r="D489">
        <v>12110956</v>
      </c>
      <c r="E489">
        <v>12110956</v>
      </c>
      <c r="F489">
        <v>12110956</v>
      </c>
      <c r="G489">
        <v>12110956</v>
      </c>
      <c r="H489">
        <v>12110956</v>
      </c>
      <c r="I489">
        <v>12110956</v>
      </c>
      <c r="J489">
        <v>12110956</v>
      </c>
      <c r="K489">
        <v>12110956</v>
      </c>
    </row>
    <row r="490" spans="1:13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1:13" x14ac:dyDescent="0.3">
      <c r="A491" t="s">
        <v>19</v>
      </c>
      <c r="B491" t="s">
        <v>19</v>
      </c>
      <c r="C491" t="s">
        <v>19</v>
      </c>
      <c r="D491" t="s">
        <v>19</v>
      </c>
      <c r="E491" t="s">
        <v>19</v>
      </c>
      <c r="F491" t="s">
        <v>19</v>
      </c>
      <c r="G491" t="s">
        <v>19</v>
      </c>
      <c r="H491" t="s">
        <v>19</v>
      </c>
      <c r="I491" t="s">
        <v>19</v>
      </c>
      <c r="J491" t="s">
        <v>19</v>
      </c>
      <c r="K491" t="s">
        <v>19</v>
      </c>
    </row>
    <row r="492" spans="1:13" x14ac:dyDescent="0.3">
      <c r="A492" t="s">
        <v>20</v>
      </c>
      <c r="B492" t="s">
        <v>20</v>
      </c>
      <c r="C492" t="s">
        <v>20</v>
      </c>
      <c r="D492" t="s">
        <v>20</v>
      </c>
      <c r="E492" t="s">
        <v>20</v>
      </c>
      <c r="F492" t="s">
        <v>20</v>
      </c>
      <c r="G492" t="s">
        <v>20</v>
      </c>
      <c r="H492" t="s">
        <v>20</v>
      </c>
      <c r="I492" t="s">
        <v>20</v>
      </c>
      <c r="J492" t="s">
        <v>20</v>
      </c>
      <c r="K492" t="s">
        <v>20</v>
      </c>
    </row>
    <row r="493" spans="1:13" x14ac:dyDescent="0.3">
      <c r="A493" t="s">
        <v>15</v>
      </c>
      <c r="B493" t="s">
        <v>15</v>
      </c>
      <c r="C493" t="s">
        <v>15</v>
      </c>
      <c r="D493" t="s">
        <v>15</v>
      </c>
      <c r="E493" t="s">
        <v>15</v>
      </c>
      <c r="F493" t="s">
        <v>15</v>
      </c>
      <c r="G493" t="s">
        <v>15</v>
      </c>
      <c r="H493" t="s">
        <v>15</v>
      </c>
      <c r="I493" t="s">
        <v>15</v>
      </c>
      <c r="J493" t="s">
        <v>15</v>
      </c>
      <c r="K493" t="s">
        <v>15</v>
      </c>
      <c r="L493" t="s">
        <v>16</v>
      </c>
      <c r="M493" t="s">
        <v>17</v>
      </c>
    </row>
    <row r="494" spans="1:13" x14ac:dyDescent="0.3">
      <c r="A494">
        <v>47.3</v>
      </c>
      <c r="B494">
        <v>47.3</v>
      </c>
      <c r="C494">
        <v>47.3</v>
      </c>
      <c r="D494">
        <v>47.3</v>
      </c>
      <c r="E494">
        <v>47.3</v>
      </c>
      <c r="F494">
        <v>47.3</v>
      </c>
      <c r="G494">
        <v>47.3</v>
      </c>
      <c r="H494">
        <v>47.3</v>
      </c>
      <c r="I494">
        <v>47.3</v>
      </c>
      <c r="J494">
        <v>47.3</v>
      </c>
      <c r="K494">
        <v>47.3</v>
      </c>
    </row>
    <row r="495" spans="1:13" x14ac:dyDescent="0.3">
      <c r="A495">
        <v>0.38</v>
      </c>
      <c r="B495">
        <v>0.38</v>
      </c>
      <c r="C495">
        <v>0.38</v>
      </c>
      <c r="D495">
        <v>0.38</v>
      </c>
      <c r="E495">
        <v>0.38</v>
      </c>
      <c r="F495">
        <v>0.38</v>
      </c>
      <c r="G495">
        <v>0.38</v>
      </c>
      <c r="H495">
        <v>0.38</v>
      </c>
      <c r="I495">
        <v>0.38</v>
      </c>
      <c r="J495">
        <v>0.38</v>
      </c>
      <c r="K495">
        <v>0.38</v>
      </c>
    </row>
    <row r="496" spans="1:13" x14ac:dyDescent="0.3">
      <c r="A496">
        <v>600</v>
      </c>
      <c r="B496">
        <v>600</v>
      </c>
      <c r="C496">
        <v>600</v>
      </c>
      <c r="D496">
        <v>600</v>
      </c>
      <c r="E496">
        <v>600</v>
      </c>
      <c r="F496">
        <v>600</v>
      </c>
      <c r="G496">
        <v>600</v>
      </c>
      <c r="H496">
        <v>600</v>
      </c>
      <c r="I496">
        <v>600</v>
      </c>
      <c r="J496">
        <v>600</v>
      </c>
      <c r="K496">
        <v>600</v>
      </c>
    </row>
    <row r="497" spans="1:13" x14ac:dyDescent="0.3">
      <c r="A497">
        <v>46.64</v>
      </c>
      <c r="B497">
        <v>46.64</v>
      </c>
      <c r="C497">
        <v>46.64</v>
      </c>
      <c r="D497">
        <v>46.64</v>
      </c>
      <c r="E497">
        <v>46.64</v>
      </c>
      <c r="F497">
        <v>46.64</v>
      </c>
      <c r="G497">
        <v>46.64</v>
      </c>
      <c r="H497">
        <v>46.64</v>
      </c>
      <c r="I497">
        <v>46.64</v>
      </c>
      <c r="J497">
        <v>46.64</v>
      </c>
      <c r="K497">
        <v>46.64</v>
      </c>
    </row>
    <row r="498" spans="1:13" x14ac:dyDescent="0.3">
      <c r="A498">
        <v>47.65</v>
      </c>
      <c r="B498">
        <v>47.65</v>
      </c>
      <c r="C498">
        <v>47.65</v>
      </c>
      <c r="D498">
        <v>47.65</v>
      </c>
      <c r="E498">
        <v>47.65</v>
      </c>
      <c r="F498">
        <v>47.65</v>
      </c>
      <c r="G498">
        <v>47.65</v>
      </c>
      <c r="H498">
        <v>47.65</v>
      </c>
      <c r="I498">
        <v>47.65</v>
      </c>
      <c r="J498">
        <v>47.65</v>
      </c>
      <c r="K498">
        <v>47.65</v>
      </c>
    </row>
    <row r="499" spans="1:13" x14ac:dyDescent="0.3">
      <c r="A499">
        <v>600</v>
      </c>
      <c r="B499">
        <v>600</v>
      </c>
      <c r="C499">
        <v>600</v>
      </c>
      <c r="D499">
        <v>600</v>
      </c>
      <c r="E499">
        <v>600</v>
      </c>
      <c r="F499">
        <v>600</v>
      </c>
      <c r="G499">
        <v>600</v>
      </c>
      <c r="H499">
        <v>600</v>
      </c>
      <c r="I499">
        <v>600</v>
      </c>
      <c r="J499">
        <v>600</v>
      </c>
      <c r="K499">
        <v>600</v>
      </c>
    </row>
    <row r="500" spans="1:13" x14ac:dyDescent="0.3">
      <c r="A500" t="s">
        <v>46</v>
      </c>
      <c r="B500" t="s">
        <v>46</v>
      </c>
      <c r="C500" t="s">
        <v>46</v>
      </c>
      <c r="D500" t="s">
        <v>46</v>
      </c>
      <c r="E500" t="s">
        <v>46</v>
      </c>
      <c r="F500" t="s">
        <v>46</v>
      </c>
      <c r="G500" t="s">
        <v>46</v>
      </c>
      <c r="H500" t="s">
        <v>46</v>
      </c>
      <c r="I500" t="s">
        <v>46</v>
      </c>
      <c r="J500" t="s">
        <v>46</v>
      </c>
      <c r="K500" t="s">
        <v>46</v>
      </c>
    </row>
    <row r="501" spans="1:13" x14ac:dyDescent="0.3">
      <c r="A501">
        <v>2458334</v>
      </c>
      <c r="B501">
        <v>2458334</v>
      </c>
      <c r="C501">
        <v>2458334</v>
      </c>
      <c r="D501">
        <v>2458334</v>
      </c>
      <c r="E501">
        <v>2458334</v>
      </c>
      <c r="F501">
        <v>2458334</v>
      </c>
      <c r="G501">
        <v>2458334</v>
      </c>
      <c r="H501">
        <v>2458334</v>
      </c>
      <c r="I501">
        <v>2458334</v>
      </c>
      <c r="J501">
        <v>2458334</v>
      </c>
      <c r="K501">
        <v>2458334</v>
      </c>
    </row>
    <row r="502" spans="1:13" x14ac:dyDescent="0.3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1:13" x14ac:dyDescent="0.3">
      <c r="A503" t="s">
        <v>19</v>
      </c>
      <c r="B503" t="s">
        <v>19</v>
      </c>
      <c r="C503" t="s">
        <v>19</v>
      </c>
      <c r="D503" t="s">
        <v>19</v>
      </c>
      <c r="E503" t="s">
        <v>19</v>
      </c>
      <c r="F503" t="s">
        <v>19</v>
      </c>
      <c r="G503" t="s">
        <v>19</v>
      </c>
      <c r="H503" t="s">
        <v>19</v>
      </c>
      <c r="I503" t="s">
        <v>19</v>
      </c>
      <c r="J503" t="s">
        <v>19</v>
      </c>
      <c r="K503" t="s">
        <v>19</v>
      </c>
    </row>
    <row r="504" spans="1:13" x14ac:dyDescent="0.3">
      <c r="A504" t="s">
        <v>20</v>
      </c>
      <c r="B504" t="s">
        <v>20</v>
      </c>
      <c r="C504" t="s">
        <v>20</v>
      </c>
      <c r="D504" t="s">
        <v>20</v>
      </c>
      <c r="E504" t="s">
        <v>20</v>
      </c>
      <c r="F504" t="s">
        <v>20</v>
      </c>
      <c r="G504" t="s">
        <v>20</v>
      </c>
      <c r="H504" t="s">
        <v>20</v>
      </c>
      <c r="I504" t="s">
        <v>20</v>
      </c>
      <c r="J504" t="s">
        <v>20</v>
      </c>
      <c r="K504" t="s">
        <v>20</v>
      </c>
    </row>
    <row r="505" spans="1:13" x14ac:dyDescent="0.3">
      <c r="A505" t="s">
        <v>15</v>
      </c>
      <c r="B505" t="s">
        <v>15</v>
      </c>
      <c r="C505" t="s">
        <v>15</v>
      </c>
      <c r="D505" t="s">
        <v>15</v>
      </c>
      <c r="E505" t="s">
        <v>15</v>
      </c>
      <c r="F505" t="s">
        <v>15</v>
      </c>
      <c r="G505" t="s">
        <v>15</v>
      </c>
      <c r="H505" t="s">
        <v>15</v>
      </c>
      <c r="I505" t="s">
        <v>15</v>
      </c>
      <c r="J505" t="s">
        <v>15</v>
      </c>
      <c r="K505" t="s">
        <v>15</v>
      </c>
      <c r="L505" t="s">
        <v>16</v>
      </c>
      <c r="M505" t="s">
        <v>17</v>
      </c>
    </row>
    <row r="506" spans="1:13" x14ac:dyDescent="0.3">
      <c r="A506">
        <v>112.22</v>
      </c>
      <c r="B506">
        <v>112.22</v>
      </c>
      <c r="C506">
        <v>112.22</v>
      </c>
      <c r="D506">
        <v>112.22</v>
      </c>
      <c r="E506">
        <v>112.22</v>
      </c>
      <c r="F506">
        <v>112.22</v>
      </c>
      <c r="G506">
        <v>112.22</v>
      </c>
      <c r="H506">
        <v>112.22</v>
      </c>
      <c r="I506">
        <v>112.22</v>
      </c>
      <c r="J506">
        <v>112.22</v>
      </c>
      <c r="K506">
        <v>112.22</v>
      </c>
    </row>
    <row r="507" spans="1:13" x14ac:dyDescent="0.3">
      <c r="A507">
        <v>-0.02</v>
      </c>
      <c r="B507">
        <v>-0.02</v>
      </c>
      <c r="C507">
        <v>-0.02</v>
      </c>
      <c r="D507">
        <v>-0.02</v>
      </c>
      <c r="E507">
        <v>-0.02</v>
      </c>
      <c r="F507">
        <v>-0.02</v>
      </c>
      <c r="G507">
        <v>-0.02</v>
      </c>
      <c r="H507">
        <v>-0.02</v>
      </c>
      <c r="I507">
        <v>-0.02</v>
      </c>
      <c r="J507">
        <v>-0.02</v>
      </c>
      <c r="K507">
        <v>-0.02</v>
      </c>
    </row>
    <row r="508" spans="1:13" x14ac:dyDescent="0.3">
      <c r="A508">
        <v>200</v>
      </c>
      <c r="B508">
        <v>200</v>
      </c>
      <c r="C508">
        <v>200</v>
      </c>
      <c r="D508">
        <v>200</v>
      </c>
      <c r="E508">
        <v>200</v>
      </c>
      <c r="F508">
        <v>200</v>
      </c>
      <c r="G508">
        <v>200</v>
      </c>
      <c r="H508">
        <v>200</v>
      </c>
      <c r="I508">
        <v>200</v>
      </c>
      <c r="J508">
        <v>200</v>
      </c>
      <c r="K508">
        <v>200</v>
      </c>
    </row>
    <row r="509" spans="1:13" x14ac:dyDescent="0.3">
      <c r="A509">
        <v>112.13</v>
      </c>
      <c r="B509">
        <v>112.13</v>
      </c>
      <c r="C509">
        <v>112.13</v>
      </c>
      <c r="D509">
        <v>112.13</v>
      </c>
      <c r="E509">
        <v>112.13</v>
      </c>
      <c r="F509">
        <v>112.13</v>
      </c>
      <c r="G509">
        <v>112.13</v>
      </c>
      <c r="H509">
        <v>112.13</v>
      </c>
      <c r="I509">
        <v>112.13</v>
      </c>
      <c r="J509">
        <v>112.13</v>
      </c>
      <c r="K509">
        <v>112.13</v>
      </c>
    </row>
    <row r="510" spans="1:13" x14ac:dyDescent="0.3">
      <c r="A510">
        <v>112.87</v>
      </c>
      <c r="B510">
        <v>112.87</v>
      </c>
      <c r="C510">
        <v>112.87</v>
      </c>
      <c r="D510">
        <v>112.87</v>
      </c>
      <c r="E510">
        <v>112.87</v>
      </c>
      <c r="F510">
        <v>112.87</v>
      </c>
      <c r="G510">
        <v>112.87</v>
      </c>
      <c r="H510">
        <v>112.87</v>
      </c>
      <c r="I510">
        <v>112.87</v>
      </c>
      <c r="J510">
        <v>112.87</v>
      </c>
      <c r="K510">
        <v>112.87</v>
      </c>
    </row>
    <row r="511" spans="1:13" x14ac:dyDescent="0.3">
      <c r="A511">
        <v>200</v>
      </c>
      <c r="B511">
        <v>200</v>
      </c>
      <c r="C511">
        <v>200</v>
      </c>
      <c r="D511">
        <v>200</v>
      </c>
      <c r="E511">
        <v>200</v>
      </c>
      <c r="F511">
        <v>200</v>
      </c>
      <c r="G511">
        <v>200</v>
      </c>
      <c r="H511">
        <v>200</v>
      </c>
      <c r="I511">
        <v>200</v>
      </c>
      <c r="J511">
        <v>200</v>
      </c>
      <c r="K511">
        <v>200</v>
      </c>
    </row>
    <row r="512" spans="1:13" x14ac:dyDescent="0.3">
      <c r="A512" t="s">
        <v>30</v>
      </c>
      <c r="B512" t="s">
        <v>30</v>
      </c>
      <c r="C512" t="s">
        <v>30</v>
      </c>
      <c r="D512" t="s">
        <v>30</v>
      </c>
      <c r="E512" t="s">
        <v>30</v>
      </c>
      <c r="F512" t="s">
        <v>30</v>
      </c>
      <c r="G512" t="s">
        <v>30</v>
      </c>
      <c r="H512" t="s">
        <v>30</v>
      </c>
      <c r="I512" t="s">
        <v>30</v>
      </c>
      <c r="J512" t="s">
        <v>30</v>
      </c>
      <c r="K512" t="s">
        <v>30</v>
      </c>
    </row>
    <row r="513" spans="1:13" x14ac:dyDescent="0.3">
      <c r="A513">
        <v>2540016</v>
      </c>
      <c r="B513">
        <v>2540016</v>
      </c>
      <c r="C513">
        <v>2540016</v>
      </c>
      <c r="D513">
        <v>2540016</v>
      </c>
      <c r="E513">
        <v>2540016</v>
      </c>
      <c r="F513">
        <v>2540016</v>
      </c>
      <c r="G513">
        <v>2540016</v>
      </c>
      <c r="H513">
        <v>2540016</v>
      </c>
      <c r="I513">
        <v>2540016</v>
      </c>
      <c r="J513">
        <v>2540016</v>
      </c>
      <c r="K513">
        <v>2540016</v>
      </c>
    </row>
    <row r="514" spans="1:13" x14ac:dyDescent="0.3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1:13" x14ac:dyDescent="0.3">
      <c r="A515" t="s">
        <v>19</v>
      </c>
      <c r="B515" t="s">
        <v>19</v>
      </c>
      <c r="C515" t="s">
        <v>19</v>
      </c>
      <c r="D515" t="s">
        <v>19</v>
      </c>
      <c r="E515" t="s">
        <v>19</v>
      </c>
      <c r="F515" t="s">
        <v>19</v>
      </c>
      <c r="G515" t="s">
        <v>19</v>
      </c>
      <c r="H515" t="s">
        <v>19</v>
      </c>
      <c r="I515" t="s">
        <v>19</v>
      </c>
      <c r="J515" t="s">
        <v>19</v>
      </c>
      <c r="K515" t="s">
        <v>19</v>
      </c>
    </row>
    <row r="516" spans="1:13" x14ac:dyDescent="0.3">
      <c r="A516" t="s">
        <v>20</v>
      </c>
      <c r="B516" t="s">
        <v>20</v>
      </c>
      <c r="C516" t="s">
        <v>20</v>
      </c>
      <c r="D516" t="s">
        <v>20</v>
      </c>
      <c r="E516" t="s">
        <v>20</v>
      </c>
      <c r="F516" t="s">
        <v>20</v>
      </c>
      <c r="G516" t="s">
        <v>20</v>
      </c>
      <c r="H516" t="s">
        <v>20</v>
      </c>
      <c r="I516" t="s">
        <v>20</v>
      </c>
      <c r="J516" t="s">
        <v>20</v>
      </c>
      <c r="K516" t="s">
        <v>20</v>
      </c>
    </row>
    <row r="517" spans="1:13" x14ac:dyDescent="0.3">
      <c r="A517" t="s">
        <v>15</v>
      </c>
      <c r="B517" t="s">
        <v>15</v>
      </c>
      <c r="C517" t="s">
        <v>15</v>
      </c>
      <c r="D517" t="s">
        <v>15</v>
      </c>
      <c r="E517" t="s">
        <v>15</v>
      </c>
      <c r="F517" t="s">
        <v>15</v>
      </c>
      <c r="G517" t="s">
        <v>15</v>
      </c>
      <c r="H517" t="s">
        <v>15</v>
      </c>
      <c r="I517" t="s">
        <v>15</v>
      </c>
      <c r="J517" t="s">
        <v>15</v>
      </c>
      <c r="K517" t="s">
        <v>15</v>
      </c>
      <c r="L517" t="s">
        <v>16</v>
      </c>
      <c r="M517" t="s">
        <v>17</v>
      </c>
    </row>
    <row r="518" spans="1:13" x14ac:dyDescent="0.3">
      <c r="A518">
        <v>31.42</v>
      </c>
      <c r="B518">
        <v>31.42</v>
      </c>
      <c r="C518">
        <v>31.42</v>
      </c>
      <c r="D518">
        <v>31.42</v>
      </c>
      <c r="E518">
        <v>31.42</v>
      </c>
      <c r="F518">
        <v>31.42</v>
      </c>
      <c r="G518">
        <v>31.42</v>
      </c>
      <c r="H518">
        <v>31.42</v>
      </c>
      <c r="I518">
        <v>31.42</v>
      </c>
      <c r="J518">
        <v>31.42</v>
      </c>
      <c r="K518">
        <v>31.42</v>
      </c>
    </row>
    <row r="519" spans="1:13" x14ac:dyDescent="0.3">
      <c r="A519">
        <v>3.29</v>
      </c>
      <c r="B519">
        <v>3.29</v>
      </c>
      <c r="C519">
        <v>3.29</v>
      </c>
      <c r="D519">
        <v>3.29</v>
      </c>
      <c r="E519">
        <v>3.29</v>
      </c>
      <c r="F519">
        <v>3.29</v>
      </c>
      <c r="G519">
        <v>3.29</v>
      </c>
      <c r="H519">
        <v>3.29</v>
      </c>
      <c r="I519">
        <v>3.29</v>
      </c>
      <c r="J519">
        <v>3.29</v>
      </c>
      <c r="K519">
        <v>3.29</v>
      </c>
    </row>
    <row r="520" spans="1:13" x14ac:dyDescent="0.3">
      <c r="A520">
        <v>900</v>
      </c>
      <c r="B520">
        <v>900</v>
      </c>
      <c r="C520">
        <v>900</v>
      </c>
      <c r="D520">
        <v>900</v>
      </c>
      <c r="E520">
        <v>900</v>
      </c>
      <c r="F520">
        <v>900</v>
      </c>
      <c r="G520">
        <v>900</v>
      </c>
      <c r="H520">
        <v>900</v>
      </c>
      <c r="I520">
        <v>900</v>
      </c>
      <c r="J520">
        <v>900</v>
      </c>
      <c r="K520">
        <v>900</v>
      </c>
    </row>
    <row r="521" spans="1:13" x14ac:dyDescent="0.3">
      <c r="A521">
        <v>31.01</v>
      </c>
      <c r="B521">
        <v>31.01</v>
      </c>
      <c r="C521">
        <v>31.01</v>
      </c>
      <c r="D521">
        <v>31.01</v>
      </c>
      <c r="E521">
        <v>31.01</v>
      </c>
      <c r="F521">
        <v>31.01</v>
      </c>
      <c r="G521">
        <v>31.01</v>
      </c>
      <c r="H521">
        <v>31.01</v>
      </c>
      <c r="I521">
        <v>31.01</v>
      </c>
      <c r="J521">
        <v>31.01</v>
      </c>
      <c r="K521">
        <v>31.01</v>
      </c>
    </row>
    <row r="522" spans="1:13" x14ac:dyDescent="0.3">
      <c r="A522">
        <v>32.14</v>
      </c>
      <c r="B522">
        <v>32.14</v>
      </c>
      <c r="C522">
        <v>32.14</v>
      </c>
      <c r="D522">
        <v>32.14</v>
      </c>
      <c r="E522">
        <v>32.14</v>
      </c>
      <c r="F522">
        <v>32.14</v>
      </c>
      <c r="G522">
        <v>32.14</v>
      </c>
      <c r="H522">
        <v>32.14</v>
      </c>
      <c r="I522">
        <v>32.14</v>
      </c>
      <c r="J522">
        <v>32.14</v>
      </c>
      <c r="K522">
        <v>32.14</v>
      </c>
    </row>
    <row r="523" spans="1:13" x14ac:dyDescent="0.3">
      <c r="A523">
        <v>900</v>
      </c>
      <c r="B523">
        <v>900</v>
      </c>
      <c r="C523">
        <v>900</v>
      </c>
      <c r="D523">
        <v>900</v>
      </c>
      <c r="E523">
        <v>900</v>
      </c>
      <c r="F523">
        <v>900</v>
      </c>
      <c r="G523">
        <v>900</v>
      </c>
      <c r="H523">
        <v>900</v>
      </c>
      <c r="I523">
        <v>900</v>
      </c>
      <c r="J523">
        <v>900</v>
      </c>
      <c r="K523">
        <v>900</v>
      </c>
    </row>
    <row r="524" spans="1:13" x14ac:dyDescent="0.3">
      <c r="A524" t="s">
        <v>21</v>
      </c>
      <c r="B524" t="s">
        <v>21</v>
      </c>
      <c r="C524" t="s">
        <v>21</v>
      </c>
      <c r="D524" t="s">
        <v>21</v>
      </c>
      <c r="E524" t="s">
        <v>21</v>
      </c>
      <c r="F524" t="s">
        <v>21</v>
      </c>
      <c r="G524" t="s">
        <v>21</v>
      </c>
      <c r="H524" t="s">
        <v>21</v>
      </c>
      <c r="I524" t="s">
        <v>21</v>
      </c>
      <c r="J524" t="s">
        <v>21</v>
      </c>
      <c r="K524" t="s">
        <v>21</v>
      </c>
    </row>
    <row r="525" spans="1:13" x14ac:dyDescent="0.3">
      <c r="A525">
        <v>4640919</v>
      </c>
      <c r="B525">
        <v>4640919</v>
      </c>
      <c r="C525">
        <v>4640919</v>
      </c>
      <c r="D525">
        <v>4640919</v>
      </c>
      <c r="E525">
        <v>4640919</v>
      </c>
      <c r="F525">
        <v>4640919</v>
      </c>
      <c r="G525">
        <v>4640919</v>
      </c>
      <c r="H525">
        <v>4640919</v>
      </c>
      <c r="I525">
        <v>4640919</v>
      </c>
      <c r="J525">
        <v>4640919</v>
      </c>
      <c r="K525">
        <v>4640919</v>
      </c>
    </row>
    <row r="526" spans="1:13" x14ac:dyDescent="0.3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1:13" x14ac:dyDescent="0.3">
      <c r="A527" t="s">
        <v>19</v>
      </c>
      <c r="B527" t="s">
        <v>19</v>
      </c>
      <c r="C527" t="s">
        <v>19</v>
      </c>
      <c r="D527" t="s">
        <v>19</v>
      </c>
      <c r="E527" t="s">
        <v>19</v>
      </c>
      <c r="F527" t="s">
        <v>19</v>
      </c>
      <c r="G527" t="s">
        <v>19</v>
      </c>
      <c r="H527" t="s">
        <v>19</v>
      </c>
      <c r="I527" t="s">
        <v>19</v>
      </c>
      <c r="J527" t="s">
        <v>19</v>
      </c>
      <c r="K527" t="s">
        <v>19</v>
      </c>
    </row>
    <row r="528" spans="1:13" x14ac:dyDescent="0.3">
      <c r="A528" t="s">
        <v>20</v>
      </c>
      <c r="B528" t="s">
        <v>20</v>
      </c>
      <c r="C528" t="s">
        <v>20</v>
      </c>
      <c r="D528" t="s">
        <v>20</v>
      </c>
      <c r="E528" t="s">
        <v>20</v>
      </c>
      <c r="F528" t="s">
        <v>20</v>
      </c>
      <c r="G528" t="s">
        <v>20</v>
      </c>
      <c r="H528" t="s">
        <v>20</v>
      </c>
      <c r="I528" t="s">
        <v>20</v>
      </c>
      <c r="J528" t="s">
        <v>20</v>
      </c>
      <c r="K528" t="s">
        <v>20</v>
      </c>
    </row>
    <row r="529" spans="1:13" x14ac:dyDescent="0.3">
      <c r="A529" t="s">
        <v>15</v>
      </c>
      <c r="B529" t="s">
        <v>15</v>
      </c>
      <c r="C529" t="s">
        <v>15</v>
      </c>
      <c r="D529" t="s">
        <v>15</v>
      </c>
      <c r="E529" t="s">
        <v>15</v>
      </c>
      <c r="F529" t="s">
        <v>15</v>
      </c>
      <c r="G529" t="s">
        <v>15</v>
      </c>
      <c r="H529" t="s">
        <v>15</v>
      </c>
      <c r="I529" t="s">
        <v>15</v>
      </c>
      <c r="J529" t="s">
        <v>15</v>
      </c>
      <c r="K529" t="s">
        <v>15</v>
      </c>
      <c r="L529" t="s">
        <v>16</v>
      </c>
      <c r="M529" t="s">
        <v>17</v>
      </c>
    </row>
    <row r="530" spans="1:13" x14ac:dyDescent="0.3">
      <c r="A530">
        <v>30.31</v>
      </c>
      <c r="B530">
        <v>30.31</v>
      </c>
      <c r="C530">
        <v>30.31</v>
      </c>
      <c r="D530">
        <v>30.31</v>
      </c>
      <c r="E530">
        <v>30.31</v>
      </c>
      <c r="F530">
        <v>30.31</v>
      </c>
      <c r="G530">
        <v>30.31</v>
      </c>
      <c r="H530">
        <v>30.31</v>
      </c>
      <c r="I530">
        <v>30.31</v>
      </c>
      <c r="J530">
        <v>30.31</v>
      </c>
      <c r="K530">
        <v>30.31</v>
      </c>
    </row>
    <row r="531" spans="1:13" x14ac:dyDescent="0.3">
      <c r="A531">
        <v>3.34</v>
      </c>
      <c r="B531">
        <v>3.34</v>
      </c>
      <c r="C531">
        <v>3.34</v>
      </c>
      <c r="D531">
        <v>3.34</v>
      </c>
      <c r="E531">
        <v>3.34</v>
      </c>
      <c r="F531">
        <v>3.34</v>
      </c>
      <c r="G531">
        <v>3.34</v>
      </c>
      <c r="H531">
        <v>3.34</v>
      </c>
      <c r="I531">
        <v>3.34</v>
      </c>
      <c r="J531">
        <v>3.34</v>
      </c>
      <c r="K531">
        <v>3.34</v>
      </c>
    </row>
    <row r="532" spans="1:13" x14ac:dyDescent="0.3">
      <c r="A532">
        <v>900</v>
      </c>
      <c r="B532">
        <v>900</v>
      </c>
      <c r="C532">
        <v>900</v>
      </c>
      <c r="D532">
        <v>900</v>
      </c>
      <c r="E532">
        <v>900</v>
      </c>
      <c r="F532">
        <v>900</v>
      </c>
      <c r="G532">
        <v>900</v>
      </c>
      <c r="H532">
        <v>900</v>
      </c>
      <c r="I532">
        <v>900</v>
      </c>
      <c r="J532">
        <v>900</v>
      </c>
      <c r="K532">
        <v>900</v>
      </c>
    </row>
    <row r="533" spans="1:13" x14ac:dyDescent="0.3">
      <c r="A533">
        <v>29.83</v>
      </c>
      <c r="B533">
        <v>29.83</v>
      </c>
      <c r="C533">
        <v>29.83</v>
      </c>
      <c r="D533">
        <v>29.83</v>
      </c>
      <c r="E533">
        <v>29.83</v>
      </c>
      <c r="F533">
        <v>29.83</v>
      </c>
      <c r="G533">
        <v>29.83</v>
      </c>
      <c r="H533">
        <v>29.83</v>
      </c>
      <c r="I533">
        <v>29.83</v>
      </c>
      <c r="J533">
        <v>29.83</v>
      </c>
      <c r="K533">
        <v>29.83</v>
      </c>
    </row>
    <row r="534" spans="1:13" x14ac:dyDescent="0.3">
      <c r="A534">
        <v>30.99</v>
      </c>
      <c r="B534">
        <v>30.99</v>
      </c>
      <c r="C534">
        <v>30.99</v>
      </c>
      <c r="D534">
        <v>30.99</v>
      </c>
      <c r="E534">
        <v>30.99</v>
      </c>
      <c r="F534">
        <v>30.99</v>
      </c>
      <c r="G534">
        <v>30.99</v>
      </c>
      <c r="H534">
        <v>30.99</v>
      </c>
      <c r="I534">
        <v>30.99</v>
      </c>
      <c r="J534">
        <v>30.99</v>
      </c>
      <c r="K534">
        <v>30.99</v>
      </c>
    </row>
    <row r="535" spans="1:13" x14ac:dyDescent="0.3">
      <c r="A535">
        <v>900</v>
      </c>
      <c r="B535">
        <v>900</v>
      </c>
      <c r="C535">
        <v>900</v>
      </c>
      <c r="D535">
        <v>900</v>
      </c>
      <c r="E535">
        <v>900</v>
      </c>
      <c r="F535">
        <v>900</v>
      </c>
      <c r="G535">
        <v>900</v>
      </c>
      <c r="H535">
        <v>900</v>
      </c>
      <c r="I535">
        <v>900</v>
      </c>
      <c r="J535">
        <v>900</v>
      </c>
      <c r="K535">
        <v>900</v>
      </c>
    </row>
    <row r="536" spans="1:13" x14ac:dyDescent="0.3">
      <c r="A536" t="s">
        <v>37</v>
      </c>
      <c r="B536" t="s">
        <v>37</v>
      </c>
      <c r="C536" t="s">
        <v>37</v>
      </c>
      <c r="D536" t="s">
        <v>37</v>
      </c>
      <c r="E536" t="s">
        <v>37</v>
      </c>
      <c r="F536" t="s">
        <v>37</v>
      </c>
      <c r="G536" t="s">
        <v>37</v>
      </c>
      <c r="H536" t="s">
        <v>37</v>
      </c>
      <c r="I536" t="s">
        <v>37</v>
      </c>
      <c r="J536" t="s">
        <v>37</v>
      </c>
      <c r="K536" t="s">
        <v>37</v>
      </c>
    </row>
    <row r="537" spans="1:13" x14ac:dyDescent="0.3">
      <c r="A537">
        <v>1319872</v>
      </c>
      <c r="B537">
        <v>1319872</v>
      </c>
      <c r="C537">
        <v>1319872</v>
      </c>
      <c r="D537">
        <v>1319872</v>
      </c>
      <c r="E537">
        <v>1319872</v>
      </c>
      <c r="F537">
        <v>1319872</v>
      </c>
      <c r="G537">
        <v>1319872</v>
      </c>
      <c r="H537">
        <v>1319872</v>
      </c>
      <c r="I537">
        <v>1319872</v>
      </c>
      <c r="J537">
        <v>1319872</v>
      </c>
      <c r="K537">
        <v>1319872</v>
      </c>
    </row>
    <row r="538" spans="1:13" x14ac:dyDescent="0.3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1:13" x14ac:dyDescent="0.3">
      <c r="A539" t="s">
        <v>19</v>
      </c>
      <c r="B539" t="s">
        <v>19</v>
      </c>
      <c r="C539" t="s">
        <v>19</v>
      </c>
      <c r="D539" t="s">
        <v>19</v>
      </c>
      <c r="E539" t="s">
        <v>19</v>
      </c>
      <c r="F539" t="s">
        <v>19</v>
      </c>
      <c r="G539" t="s">
        <v>19</v>
      </c>
      <c r="H539" t="s">
        <v>19</v>
      </c>
      <c r="I539" t="s">
        <v>19</v>
      </c>
      <c r="J539" t="s">
        <v>19</v>
      </c>
      <c r="K539" t="s">
        <v>19</v>
      </c>
    </row>
    <row r="540" spans="1:13" x14ac:dyDescent="0.3">
      <c r="A540" t="s">
        <v>28</v>
      </c>
      <c r="B540" t="s">
        <v>28</v>
      </c>
      <c r="C540" t="s">
        <v>28</v>
      </c>
      <c r="D540" t="s">
        <v>28</v>
      </c>
      <c r="E540" t="s">
        <v>28</v>
      </c>
      <c r="F540" t="s">
        <v>28</v>
      </c>
      <c r="G540" t="s">
        <v>28</v>
      </c>
      <c r="H540" t="s">
        <v>28</v>
      </c>
      <c r="I540" t="s">
        <v>28</v>
      </c>
      <c r="J540" t="s">
        <v>28</v>
      </c>
      <c r="K540" t="s">
        <v>28</v>
      </c>
    </row>
    <row r="541" spans="1:13" x14ac:dyDescent="0.3">
      <c r="A541" t="s">
        <v>15</v>
      </c>
      <c r="B541" t="s">
        <v>15</v>
      </c>
      <c r="C541" t="s">
        <v>15</v>
      </c>
      <c r="D541" t="s">
        <v>15</v>
      </c>
      <c r="E541" t="s">
        <v>15</v>
      </c>
      <c r="F541" t="s">
        <v>15</v>
      </c>
      <c r="G541" t="s">
        <v>15</v>
      </c>
      <c r="H541" t="s">
        <v>15</v>
      </c>
      <c r="I541" t="s">
        <v>15</v>
      </c>
      <c r="J541" t="s">
        <v>15</v>
      </c>
      <c r="K541" t="s">
        <v>15</v>
      </c>
      <c r="L541" t="s">
        <v>16</v>
      </c>
      <c r="M541" t="s">
        <v>17</v>
      </c>
    </row>
    <row r="542" spans="1:13" x14ac:dyDescent="0.3">
      <c r="A542">
        <v>68.459999999999994</v>
      </c>
      <c r="B542">
        <v>68.459999999999994</v>
      </c>
      <c r="C542">
        <v>68.459999999999994</v>
      </c>
      <c r="D542">
        <v>68.459999999999994</v>
      </c>
      <c r="E542">
        <v>68.459999999999994</v>
      </c>
      <c r="F542">
        <v>68.459999999999994</v>
      </c>
      <c r="G542">
        <v>68.459999999999994</v>
      </c>
      <c r="H542">
        <v>68.459999999999994</v>
      </c>
      <c r="I542">
        <v>68.459999999999994</v>
      </c>
      <c r="J542">
        <v>68.459999999999994</v>
      </c>
      <c r="K542">
        <v>68.459999999999994</v>
      </c>
    </row>
    <row r="543" spans="1:13" x14ac:dyDescent="0.3">
      <c r="A543">
        <v>4</v>
      </c>
      <c r="B543">
        <v>4</v>
      </c>
      <c r="C543">
        <v>4</v>
      </c>
      <c r="D543">
        <v>4</v>
      </c>
      <c r="E543">
        <v>4</v>
      </c>
      <c r="F543">
        <v>4</v>
      </c>
      <c r="G543">
        <v>4</v>
      </c>
      <c r="H543">
        <v>4</v>
      </c>
      <c r="I543">
        <v>4</v>
      </c>
      <c r="J543">
        <v>4</v>
      </c>
      <c r="K543">
        <v>4</v>
      </c>
    </row>
    <row r="544" spans="1:13" x14ac:dyDescent="0.3">
      <c r="A544">
        <v>300</v>
      </c>
      <c r="B544">
        <v>300</v>
      </c>
      <c r="C544">
        <v>300</v>
      </c>
      <c r="D544">
        <v>300</v>
      </c>
      <c r="E544">
        <v>300</v>
      </c>
      <c r="F544">
        <v>300</v>
      </c>
      <c r="G544">
        <v>300</v>
      </c>
      <c r="H544">
        <v>300</v>
      </c>
      <c r="I544">
        <v>300</v>
      </c>
      <c r="J544">
        <v>300</v>
      </c>
      <c r="K544">
        <v>300</v>
      </c>
    </row>
    <row r="545" spans="1:13" x14ac:dyDescent="0.3">
      <c r="A545">
        <v>68.34</v>
      </c>
      <c r="B545">
        <v>68.34</v>
      </c>
      <c r="C545">
        <v>68.34</v>
      </c>
      <c r="D545">
        <v>68.34</v>
      </c>
      <c r="E545">
        <v>68.34</v>
      </c>
      <c r="F545">
        <v>68.34</v>
      </c>
      <c r="G545">
        <v>68.34</v>
      </c>
      <c r="H545">
        <v>68.34</v>
      </c>
      <c r="I545">
        <v>68.34</v>
      </c>
      <c r="J545">
        <v>68.34</v>
      </c>
      <c r="K545">
        <v>68.34</v>
      </c>
    </row>
    <row r="546" spans="1:13" x14ac:dyDescent="0.3">
      <c r="A546">
        <v>68.489999999999995</v>
      </c>
      <c r="B546">
        <v>68.489999999999995</v>
      </c>
      <c r="C546">
        <v>68.489999999999995</v>
      </c>
      <c r="D546">
        <v>68.489999999999995</v>
      </c>
      <c r="E546">
        <v>68.489999999999995</v>
      </c>
      <c r="F546">
        <v>68.489999999999995</v>
      </c>
      <c r="G546">
        <v>68.489999999999995</v>
      </c>
      <c r="H546">
        <v>68.489999999999995</v>
      </c>
      <c r="I546">
        <v>68.489999999999995</v>
      </c>
      <c r="J546">
        <v>68.489999999999995</v>
      </c>
      <c r="K546">
        <v>68.489999999999995</v>
      </c>
    </row>
    <row r="547" spans="1:13" x14ac:dyDescent="0.3">
      <c r="A547">
        <v>500</v>
      </c>
      <c r="B547">
        <v>500</v>
      </c>
      <c r="C547">
        <v>500</v>
      </c>
      <c r="D547">
        <v>500</v>
      </c>
      <c r="E547">
        <v>500</v>
      </c>
      <c r="F547">
        <v>500</v>
      </c>
      <c r="G547">
        <v>500</v>
      </c>
      <c r="H547">
        <v>500</v>
      </c>
      <c r="I547">
        <v>500</v>
      </c>
      <c r="J547">
        <v>500</v>
      </c>
      <c r="K547">
        <v>500</v>
      </c>
    </row>
    <row r="548" spans="1:13" x14ac:dyDescent="0.3">
      <c r="A548" t="s">
        <v>47</v>
      </c>
      <c r="B548" t="s">
        <v>47</v>
      </c>
      <c r="C548" t="s">
        <v>47</v>
      </c>
      <c r="D548" t="s">
        <v>47</v>
      </c>
      <c r="E548" t="s">
        <v>47</v>
      </c>
      <c r="F548" t="s">
        <v>47</v>
      </c>
      <c r="G548" t="s">
        <v>47</v>
      </c>
      <c r="H548" t="s">
        <v>47</v>
      </c>
      <c r="I548" t="s">
        <v>47</v>
      </c>
      <c r="J548" t="s">
        <v>47</v>
      </c>
      <c r="K548" t="s">
        <v>47</v>
      </c>
    </row>
    <row r="549" spans="1:13" x14ac:dyDescent="0.3">
      <c r="A549">
        <v>14967626</v>
      </c>
      <c r="B549">
        <v>14967626</v>
      </c>
      <c r="C549">
        <v>14967626</v>
      </c>
      <c r="D549">
        <v>14967626</v>
      </c>
      <c r="E549">
        <v>14967626</v>
      </c>
      <c r="F549">
        <v>14967626</v>
      </c>
      <c r="G549">
        <v>14967626</v>
      </c>
      <c r="H549">
        <v>14967626</v>
      </c>
      <c r="I549">
        <v>14967626</v>
      </c>
      <c r="J549">
        <v>14967626</v>
      </c>
      <c r="K549">
        <v>14967626</v>
      </c>
    </row>
    <row r="550" spans="1:13" x14ac:dyDescent="0.3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1:13" x14ac:dyDescent="0.3">
      <c r="A551" t="s">
        <v>19</v>
      </c>
      <c r="B551" t="s">
        <v>19</v>
      </c>
      <c r="C551" t="s">
        <v>19</v>
      </c>
      <c r="D551" t="s">
        <v>19</v>
      </c>
      <c r="E551" t="s">
        <v>19</v>
      </c>
      <c r="F551" t="s">
        <v>19</v>
      </c>
      <c r="G551" t="s">
        <v>19</v>
      </c>
      <c r="H551" t="s">
        <v>19</v>
      </c>
      <c r="I551" t="s">
        <v>19</v>
      </c>
      <c r="J551" t="s">
        <v>19</v>
      </c>
      <c r="K551" t="s">
        <v>19</v>
      </c>
    </row>
    <row r="552" spans="1:13" x14ac:dyDescent="0.3">
      <c r="A552" t="s">
        <v>20</v>
      </c>
      <c r="B552" t="s">
        <v>20</v>
      </c>
      <c r="C552" t="s">
        <v>20</v>
      </c>
      <c r="D552" t="s">
        <v>20</v>
      </c>
      <c r="E552" t="s">
        <v>20</v>
      </c>
      <c r="F552" t="s">
        <v>20</v>
      </c>
      <c r="G552" t="s">
        <v>20</v>
      </c>
      <c r="H552" t="s">
        <v>20</v>
      </c>
      <c r="I552" t="s">
        <v>20</v>
      </c>
      <c r="J552" t="s">
        <v>20</v>
      </c>
      <c r="K552" t="s">
        <v>20</v>
      </c>
    </row>
    <row r="553" spans="1:13" x14ac:dyDescent="0.3">
      <c r="A553" t="s">
        <v>15</v>
      </c>
      <c r="B553" t="s">
        <v>15</v>
      </c>
      <c r="C553" t="s">
        <v>15</v>
      </c>
      <c r="D553" t="s">
        <v>15</v>
      </c>
      <c r="E553" t="s">
        <v>15</v>
      </c>
      <c r="F553" t="s">
        <v>15</v>
      </c>
      <c r="G553" t="s">
        <v>15</v>
      </c>
      <c r="H553" t="s">
        <v>15</v>
      </c>
      <c r="I553" t="s">
        <v>15</v>
      </c>
      <c r="J553" t="s">
        <v>15</v>
      </c>
      <c r="K553" t="s">
        <v>15</v>
      </c>
      <c r="L553" t="s">
        <v>16</v>
      </c>
      <c r="M553" t="s">
        <v>17</v>
      </c>
    </row>
    <row r="554" spans="1:13" x14ac:dyDescent="0.3">
      <c r="A554">
        <v>502.64</v>
      </c>
      <c r="B554">
        <v>502.64</v>
      </c>
      <c r="C554">
        <v>502.64</v>
      </c>
      <c r="D554">
        <v>502.64</v>
      </c>
      <c r="E554">
        <v>502.64</v>
      </c>
      <c r="F554">
        <v>502.64</v>
      </c>
      <c r="G554">
        <v>502.64</v>
      </c>
      <c r="H554">
        <v>502.64</v>
      </c>
      <c r="I554">
        <v>502.64</v>
      </c>
      <c r="J554">
        <v>502.64</v>
      </c>
      <c r="K554">
        <v>502.64</v>
      </c>
    </row>
    <row r="555" spans="1:13" x14ac:dyDescent="0.3">
      <c r="A555">
        <v>1.75</v>
      </c>
      <c r="B555">
        <v>1.75</v>
      </c>
      <c r="C555">
        <v>1.75</v>
      </c>
      <c r="D555">
        <v>1.75</v>
      </c>
      <c r="E555">
        <v>1.75</v>
      </c>
      <c r="F555">
        <v>1.75</v>
      </c>
      <c r="G555">
        <v>1.75</v>
      </c>
      <c r="H555">
        <v>1.75</v>
      </c>
      <c r="I555">
        <v>1.75</v>
      </c>
      <c r="J555">
        <v>1.75</v>
      </c>
      <c r="K555">
        <v>1.75</v>
      </c>
    </row>
    <row r="556" spans="1:13" x14ac:dyDescent="0.3">
      <c r="A556">
        <v>100</v>
      </c>
      <c r="B556">
        <v>100</v>
      </c>
      <c r="C556">
        <v>100</v>
      </c>
      <c r="D556">
        <v>100</v>
      </c>
      <c r="E556">
        <v>100</v>
      </c>
      <c r="F556">
        <v>100</v>
      </c>
      <c r="G556">
        <v>100</v>
      </c>
      <c r="H556">
        <v>100</v>
      </c>
      <c r="I556">
        <v>100</v>
      </c>
      <c r="J556">
        <v>100</v>
      </c>
      <c r="K556">
        <v>100</v>
      </c>
    </row>
    <row r="557" spans="1:13" x14ac:dyDescent="0.3">
      <c r="A557">
        <v>498.01</v>
      </c>
      <c r="B557">
        <v>498.01</v>
      </c>
      <c r="C557">
        <v>498.01</v>
      </c>
      <c r="D557">
        <v>498.01</v>
      </c>
      <c r="E557">
        <v>498.01</v>
      </c>
      <c r="F557">
        <v>498.01</v>
      </c>
      <c r="G557">
        <v>498.01</v>
      </c>
      <c r="H557">
        <v>498.01</v>
      </c>
      <c r="I557">
        <v>498.01</v>
      </c>
      <c r="J557">
        <v>498.01</v>
      </c>
      <c r="K557">
        <v>498.01</v>
      </c>
    </row>
    <row r="558" spans="1:13" x14ac:dyDescent="0.3">
      <c r="A558">
        <v>508</v>
      </c>
      <c r="B558">
        <v>508</v>
      </c>
      <c r="C558">
        <v>508</v>
      </c>
      <c r="D558">
        <v>508</v>
      </c>
      <c r="E558">
        <v>508</v>
      </c>
      <c r="F558">
        <v>508</v>
      </c>
      <c r="G558">
        <v>508</v>
      </c>
      <c r="H558">
        <v>508</v>
      </c>
      <c r="I558">
        <v>508</v>
      </c>
      <c r="J558">
        <v>508</v>
      </c>
      <c r="K558">
        <v>508</v>
      </c>
    </row>
    <row r="559" spans="1:13" x14ac:dyDescent="0.3">
      <c r="A559">
        <v>100</v>
      </c>
      <c r="B559">
        <v>100</v>
      </c>
      <c r="C559">
        <v>100</v>
      </c>
      <c r="D559">
        <v>100</v>
      </c>
      <c r="E559">
        <v>100</v>
      </c>
      <c r="F559">
        <v>100</v>
      </c>
      <c r="G559">
        <v>100</v>
      </c>
      <c r="H559">
        <v>100</v>
      </c>
      <c r="I559">
        <v>100</v>
      </c>
      <c r="J559">
        <v>100</v>
      </c>
      <c r="K559">
        <v>100</v>
      </c>
    </row>
    <row r="560" spans="1:13" x14ac:dyDescent="0.3">
      <c r="A560" t="s">
        <v>32</v>
      </c>
      <c r="B560" t="s">
        <v>32</v>
      </c>
      <c r="C560" t="s">
        <v>32</v>
      </c>
      <c r="D560" t="s">
        <v>32</v>
      </c>
      <c r="E560" t="s">
        <v>32</v>
      </c>
      <c r="F560" t="s">
        <v>32</v>
      </c>
      <c r="G560" t="s">
        <v>32</v>
      </c>
      <c r="H560" t="s">
        <v>32</v>
      </c>
      <c r="I560" t="s">
        <v>32</v>
      </c>
      <c r="J560" t="s">
        <v>32</v>
      </c>
      <c r="K560" t="s">
        <v>32</v>
      </c>
    </row>
    <row r="561" spans="1:13" x14ac:dyDescent="0.3">
      <c r="A561">
        <v>297793</v>
      </c>
      <c r="B561">
        <v>297793</v>
      </c>
      <c r="C561">
        <v>297793</v>
      </c>
      <c r="D561">
        <v>297793</v>
      </c>
      <c r="E561">
        <v>297793</v>
      </c>
      <c r="F561">
        <v>297793</v>
      </c>
      <c r="G561">
        <v>297793</v>
      </c>
      <c r="H561">
        <v>297793</v>
      </c>
      <c r="I561">
        <v>297793</v>
      </c>
      <c r="J561">
        <v>297793</v>
      </c>
      <c r="K561">
        <v>297793</v>
      </c>
    </row>
    <row r="562" spans="1:13" x14ac:dyDescent="0.3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1:13" x14ac:dyDescent="0.3">
      <c r="A563" t="s">
        <v>19</v>
      </c>
      <c r="B563" t="s">
        <v>19</v>
      </c>
      <c r="C563" t="s">
        <v>19</v>
      </c>
      <c r="D563" t="s">
        <v>19</v>
      </c>
      <c r="E563" t="s">
        <v>19</v>
      </c>
      <c r="F563" t="s">
        <v>19</v>
      </c>
      <c r="G563" t="s">
        <v>19</v>
      </c>
      <c r="H563" t="s">
        <v>19</v>
      </c>
      <c r="I563" t="s">
        <v>19</v>
      </c>
      <c r="J563" t="s">
        <v>19</v>
      </c>
      <c r="K563" t="s">
        <v>19</v>
      </c>
    </row>
    <row r="564" spans="1:13" x14ac:dyDescent="0.3">
      <c r="A564" t="s">
        <v>20</v>
      </c>
      <c r="B564" t="s">
        <v>20</v>
      </c>
      <c r="C564" t="s">
        <v>20</v>
      </c>
      <c r="D564" t="s">
        <v>20</v>
      </c>
      <c r="E564" t="s">
        <v>20</v>
      </c>
      <c r="F564" t="s">
        <v>20</v>
      </c>
      <c r="G564" t="s">
        <v>20</v>
      </c>
      <c r="H564" t="s">
        <v>20</v>
      </c>
      <c r="I564" t="s">
        <v>20</v>
      </c>
      <c r="J564" t="s">
        <v>20</v>
      </c>
      <c r="K564" t="s">
        <v>20</v>
      </c>
    </row>
    <row r="565" spans="1:13" x14ac:dyDescent="0.3">
      <c r="A565" t="s">
        <v>15</v>
      </c>
      <c r="B565" t="s">
        <v>15</v>
      </c>
      <c r="C565" t="s">
        <v>15</v>
      </c>
      <c r="D565" t="s">
        <v>15</v>
      </c>
      <c r="E565" t="s">
        <v>15</v>
      </c>
      <c r="F565" t="s">
        <v>15</v>
      </c>
      <c r="G565" t="s">
        <v>15</v>
      </c>
      <c r="H565" t="s">
        <v>15</v>
      </c>
      <c r="I565" t="s">
        <v>15</v>
      </c>
      <c r="J565" t="s">
        <v>15</v>
      </c>
      <c r="K565" t="s">
        <v>15</v>
      </c>
      <c r="L565" t="s">
        <v>16</v>
      </c>
      <c r="M565" t="s">
        <v>17</v>
      </c>
    </row>
    <row r="566" spans="1:13" x14ac:dyDescent="0.3">
      <c r="A566">
        <v>428.91</v>
      </c>
      <c r="B566">
        <v>428.91</v>
      </c>
      <c r="C566">
        <v>428.91</v>
      </c>
      <c r="D566">
        <v>428.91</v>
      </c>
      <c r="E566">
        <v>428.91</v>
      </c>
      <c r="F566">
        <v>428.91</v>
      </c>
      <c r="G566">
        <v>428.91</v>
      </c>
      <c r="H566">
        <v>428.91</v>
      </c>
      <c r="I566">
        <v>428.91</v>
      </c>
      <c r="J566">
        <v>428.91</v>
      </c>
      <c r="K566">
        <v>428.91</v>
      </c>
    </row>
    <row r="567" spans="1:13" x14ac:dyDescent="0.3">
      <c r="A567">
        <v>0.06</v>
      </c>
      <c r="B567">
        <v>0.06</v>
      </c>
      <c r="C567">
        <v>0.06</v>
      </c>
      <c r="D567">
        <v>0.06</v>
      </c>
      <c r="E567">
        <v>0.06</v>
      </c>
      <c r="F567">
        <v>0.06</v>
      </c>
      <c r="G567">
        <v>0.06</v>
      </c>
      <c r="H567">
        <v>0.06</v>
      </c>
      <c r="I567">
        <v>0.06</v>
      </c>
      <c r="J567">
        <v>0.06</v>
      </c>
      <c r="K567">
        <v>0.06</v>
      </c>
    </row>
    <row r="568" spans="1:13" x14ac:dyDescent="0.3">
      <c r="A568">
        <v>100</v>
      </c>
      <c r="B568">
        <v>100</v>
      </c>
      <c r="C568">
        <v>100</v>
      </c>
      <c r="D568">
        <v>100</v>
      </c>
      <c r="E568">
        <v>100</v>
      </c>
      <c r="F568">
        <v>100</v>
      </c>
      <c r="G568">
        <v>100</v>
      </c>
      <c r="H568">
        <v>100</v>
      </c>
      <c r="I568">
        <v>100</v>
      </c>
      <c r="J568">
        <v>100</v>
      </c>
      <c r="K568">
        <v>100</v>
      </c>
    </row>
    <row r="569" spans="1:13" x14ac:dyDescent="0.3">
      <c r="A569">
        <v>420.53</v>
      </c>
      <c r="B569">
        <v>420.53</v>
      </c>
      <c r="C569">
        <v>420.53</v>
      </c>
      <c r="D569">
        <v>420.53</v>
      </c>
      <c r="E569">
        <v>420.53</v>
      </c>
      <c r="F569">
        <v>420.53</v>
      </c>
      <c r="G569">
        <v>420.53</v>
      </c>
      <c r="H569">
        <v>420.53</v>
      </c>
      <c r="I569">
        <v>420.53</v>
      </c>
      <c r="J569">
        <v>420.53</v>
      </c>
      <c r="K569">
        <v>420.53</v>
      </c>
    </row>
    <row r="570" spans="1:13" x14ac:dyDescent="0.3">
      <c r="A570">
        <v>434.88</v>
      </c>
      <c r="B570">
        <v>434.88</v>
      </c>
      <c r="C570">
        <v>434.88</v>
      </c>
      <c r="D570">
        <v>434.88</v>
      </c>
      <c r="E570">
        <v>434.88</v>
      </c>
      <c r="F570">
        <v>434.88</v>
      </c>
      <c r="G570">
        <v>434.88</v>
      </c>
      <c r="H570">
        <v>434.88</v>
      </c>
      <c r="I570">
        <v>434.88</v>
      </c>
      <c r="J570">
        <v>434.88</v>
      </c>
      <c r="K570">
        <v>434.88</v>
      </c>
    </row>
    <row r="571" spans="1:13" x14ac:dyDescent="0.3">
      <c r="A571">
        <v>100</v>
      </c>
      <c r="B571">
        <v>100</v>
      </c>
      <c r="C571">
        <v>100</v>
      </c>
      <c r="D571">
        <v>100</v>
      </c>
      <c r="E571">
        <v>100</v>
      </c>
      <c r="F571">
        <v>100</v>
      </c>
      <c r="G571">
        <v>100</v>
      </c>
      <c r="H571">
        <v>100</v>
      </c>
      <c r="I571">
        <v>100</v>
      </c>
      <c r="J571">
        <v>100</v>
      </c>
      <c r="K571">
        <v>100</v>
      </c>
    </row>
    <row r="572" spans="1:13" x14ac:dyDescent="0.3">
      <c r="A572" t="s">
        <v>35</v>
      </c>
      <c r="B572" t="s">
        <v>35</v>
      </c>
      <c r="C572" t="s">
        <v>35</v>
      </c>
      <c r="D572" t="s">
        <v>35</v>
      </c>
      <c r="E572" t="s">
        <v>35</v>
      </c>
      <c r="F572" t="s">
        <v>35</v>
      </c>
      <c r="G572" t="s">
        <v>35</v>
      </c>
      <c r="H572" t="s">
        <v>35</v>
      </c>
      <c r="I572" t="s">
        <v>35</v>
      </c>
      <c r="J572" t="s">
        <v>35</v>
      </c>
      <c r="K572" t="s">
        <v>35</v>
      </c>
    </row>
    <row r="573" spans="1:13" x14ac:dyDescent="0.3">
      <c r="A573">
        <v>758698</v>
      </c>
      <c r="B573">
        <v>758698</v>
      </c>
      <c r="C573">
        <v>758698</v>
      </c>
      <c r="D573">
        <v>758698</v>
      </c>
      <c r="E573">
        <v>758698</v>
      </c>
      <c r="F573">
        <v>758698</v>
      </c>
      <c r="G573">
        <v>758698</v>
      </c>
      <c r="H573">
        <v>758698</v>
      </c>
      <c r="I573">
        <v>758698</v>
      </c>
      <c r="J573">
        <v>758698</v>
      </c>
      <c r="K573">
        <v>758698</v>
      </c>
    </row>
    <row r="574" spans="1:13" x14ac:dyDescent="0.3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</row>
    <row r="575" spans="1:13" x14ac:dyDescent="0.3">
      <c r="A575" t="s">
        <v>19</v>
      </c>
      <c r="B575" t="s">
        <v>19</v>
      </c>
      <c r="C575" t="s">
        <v>19</v>
      </c>
      <c r="D575" t="s">
        <v>19</v>
      </c>
      <c r="E575" t="s">
        <v>19</v>
      </c>
      <c r="F575" t="s">
        <v>19</v>
      </c>
      <c r="G575" t="s">
        <v>19</v>
      </c>
      <c r="H575" t="s">
        <v>19</v>
      </c>
      <c r="I575" t="s">
        <v>19</v>
      </c>
      <c r="J575" t="s">
        <v>19</v>
      </c>
      <c r="K575" t="s">
        <v>19</v>
      </c>
    </row>
    <row r="576" spans="1:13" x14ac:dyDescent="0.3">
      <c r="A576" t="s">
        <v>20</v>
      </c>
      <c r="B576" t="s">
        <v>20</v>
      </c>
      <c r="C576" t="s">
        <v>20</v>
      </c>
      <c r="D576" t="s">
        <v>20</v>
      </c>
      <c r="E576" t="s">
        <v>20</v>
      </c>
      <c r="F576" t="s">
        <v>20</v>
      </c>
      <c r="G576" t="s">
        <v>20</v>
      </c>
      <c r="H576" t="s">
        <v>20</v>
      </c>
      <c r="I576" t="s">
        <v>20</v>
      </c>
      <c r="J576" t="s">
        <v>20</v>
      </c>
      <c r="K576" t="s">
        <v>20</v>
      </c>
    </row>
    <row r="577" spans="1:13" x14ac:dyDescent="0.3">
      <c r="A577" t="s">
        <v>15</v>
      </c>
      <c r="B577" t="s">
        <v>15</v>
      </c>
      <c r="C577" t="s">
        <v>15</v>
      </c>
      <c r="D577" t="s">
        <v>15</v>
      </c>
      <c r="E577" t="s">
        <v>15</v>
      </c>
      <c r="F577" t="s">
        <v>15</v>
      </c>
      <c r="G577" t="s">
        <v>15</v>
      </c>
      <c r="H577" t="s">
        <v>15</v>
      </c>
      <c r="I577" t="s">
        <v>15</v>
      </c>
      <c r="J577" t="s">
        <v>15</v>
      </c>
      <c r="K577" t="s">
        <v>15</v>
      </c>
      <c r="L577" t="s">
        <v>16</v>
      </c>
      <c r="M577" t="s">
        <v>17</v>
      </c>
    </row>
    <row r="578" spans="1:13" x14ac:dyDescent="0.3">
      <c r="A578">
        <v>90.24</v>
      </c>
      <c r="B578">
        <v>90.24</v>
      </c>
      <c r="C578">
        <v>90.24</v>
      </c>
      <c r="D578">
        <v>90.24</v>
      </c>
      <c r="E578">
        <v>90.24</v>
      </c>
      <c r="F578">
        <v>90.24</v>
      </c>
      <c r="G578">
        <v>90.24</v>
      </c>
      <c r="H578">
        <v>90.24</v>
      </c>
      <c r="I578">
        <v>90.24</v>
      </c>
      <c r="J578">
        <v>90.24</v>
      </c>
      <c r="K578">
        <v>90.24</v>
      </c>
    </row>
    <row r="579" spans="1:13" x14ac:dyDescent="0.3">
      <c r="A579">
        <v>-0.74</v>
      </c>
      <c r="B579">
        <v>-0.74</v>
      </c>
      <c r="C579">
        <v>-0.74</v>
      </c>
      <c r="D579">
        <v>-0.74</v>
      </c>
      <c r="E579">
        <v>-0.74</v>
      </c>
      <c r="F579">
        <v>-0.74</v>
      </c>
      <c r="G579">
        <v>-0.74</v>
      </c>
      <c r="H579">
        <v>-0.74</v>
      </c>
      <c r="I579">
        <v>-0.74</v>
      </c>
      <c r="J579">
        <v>-0.74</v>
      </c>
      <c r="K579">
        <v>-0.74</v>
      </c>
    </row>
    <row r="580" spans="1:13" x14ac:dyDescent="0.3">
      <c r="A580">
        <v>100</v>
      </c>
      <c r="B580">
        <v>100</v>
      </c>
      <c r="C580">
        <v>100</v>
      </c>
      <c r="D580">
        <v>100</v>
      </c>
      <c r="E580">
        <v>100</v>
      </c>
      <c r="F580">
        <v>100</v>
      </c>
      <c r="G580">
        <v>100</v>
      </c>
      <c r="H580">
        <v>100</v>
      </c>
      <c r="I580">
        <v>100</v>
      </c>
      <c r="J580">
        <v>100</v>
      </c>
      <c r="K580">
        <v>100</v>
      </c>
    </row>
    <row r="581" spans="1:13" x14ac:dyDescent="0.3">
      <c r="A581">
        <v>89</v>
      </c>
      <c r="B581">
        <v>89</v>
      </c>
      <c r="C581">
        <v>89</v>
      </c>
      <c r="D581">
        <v>89</v>
      </c>
      <c r="E581">
        <v>89</v>
      </c>
      <c r="F581">
        <v>89</v>
      </c>
      <c r="G581">
        <v>89</v>
      </c>
      <c r="H581">
        <v>89</v>
      </c>
      <c r="I581">
        <v>89</v>
      </c>
      <c r="J581">
        <v>89</v>
      </c>
      <c r="K581">
        <v>89</v>
      </c>
    </row>
    <row r="582" spans="1:13" x14ac:dyDescent="0.3">
      <c r="A582">
        <v>92.28</v>
      </c>
      <c r="B582">
        <v>92.28</v>
      </c>
      <c r="C582">
        <v>92.28</v>
      </c>
      <c r="D582">
        <v>92.28</v>
      </c>
      <c r="E582">
        <v>92.28</v>
      </c>
      <c r="F582">
        <v>92.28</v>
      </c>
      <c r="G582">
        <v>92.28</v>
      </c>
      <c r="H582">
        <v>92.28</v>
      </c>
      <c r="I582">
        <v>92.28</v>
      </c>
      <c r="J582">
        <v>92.28</v>
      </c>
      <c r="K582">
        <v>92.28</v>
      </c>
    </row>
    <row r="583" spans="1:13" x14ac:dyDescent="0.3">
      <c r="A583">
        <v>100</v>
      </c>
      <c r="B583">
        <v>100</v>
      </c>
      <c r="C583">
        <v>100</v>
      </c>
      <c r="D583">
        <v>100</v>
      </c>
      <c r="E583">
        <v>100</v>
      </c>
      <c r="F583">
        <v>100</v>
      </c>
      <c r="G583">
        <v>100</v>
      </c>
      <c r="H583">
        <v>100</v>
      </c>
      <c r="I583">
        <v>100</v>
      </c>
      <c r="J583">
        <v>100</v>
      </c>
      <c r="K583">
        <v>100</v>
      </c>
    </row>
    <row r="584" spans="1:13" x14ac:dyDescent="0.3">
      <c r="A584" t="s">
        <v>48</v>
      </c>
      <c r="B584" t="s">
        <v>48</v>
      </c>
      <c r="C584" t="s">
        <v>48</v>
      </c>
      <c r="D584" t="s">
        <v>48</v>
      </c>
      <c r="E584" t="s">
        <v>48</v>
      </c>
      <c r="F584" t="s">
        <v>48</v>
      </c>
      <c r="G584" t="s">
        <v>48</v>
      </c>
      <c r="H584" t="s">
        <v>48</v>
      </c>
      <c r="I584" t="s">
        <v>48</v>
      </c>
      <c r="J584" t="s">
        <v>48</v>
      </c>
      <c r="K584" t="s">
        <v>48</v>
      </c>
    </row>
    <row r="585" spans="1:13" x14ac:dyDescent="0.3">
      <c r="A585">
        <v>1233744</v>
      </c>
      <c r="B585">
        <v>1233744</v>
      </c>
      <c r="C585">
        <v>1233744</v>
      </c>
      <c r="D585">
        <v>1233744</v>
      </c>
      <c r="E585">
        <v>1233744</v>
      </c>
      <c r="F585">
        <v>1233744</v>
      </c>
      <c r="G585">
        <v>1233744</v>
      </c>
      <c r="H585">
        <v>1233744</v>
      </c>
      <c r="I585">
        <v>1233744</v>
      </c>
      <c r="J585">
        <v>1233744</v>
      </c>
      <c r="K585">
        <v>1233744</v>
      </c>
    </row>
    <row r="586" spans="1:13" x14ac:dyDescent="0.3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</row>
    <row r="587" spans="1:13" x14ac:dyDescent="0.3">
      <c r="A587" t="s">
        <v>19</v>
      </c>
      <c r="B587" t="s">
        <v>19</v>
      </c>
      <c r="C587" t="s">
        <v>19</v>
      </c>
      <c r="D587" t="s">
        <v>19</v>
      </c>
      <c r="E587" t="s">
        <v>19</v>
      </c>
      <c r="F587" t="s">
        <v>19</v>
      </c>
      <c r="G587" t="s">
        <v>19</v>
      </c>
      <c r="H587" t="s">
        <v>19</v>
      </c>
      <c r="I587" t="s">
        <v>19</v>
      </c>
      <c r="J587" t="s">
        <v>19</v>
      </c>
      <c r="K587" t="s">
        <v>19</v>
      </c>
    </row>
    <row r="588" spans="1:13" x14ac:dyDescent="0.3">
      <c r="A588" t="s">
        <v>20</v>
      </c>
      <c r="B588" t="s">
        <v>20</v>
      </c>
      <c r="C588" t="s">
        <v>20</v>
      </c>
      <c r="D588" t="s">
        <v>20</v>
      </c>
      <c r="E588" t="s">
        <v>20</v>
      </c>
      <c r="F588" t="s">
        <v>20</v>
      </c>
      <c r="G588" t="s">
        <v>20</v>
      </c>
      <c r="H588" t="s">
        <v>20</v>
      </c>
      <c r="I588" t="s">
        <v>20</v>
      </c>
      <c r="J588" t="s">
        <v>20</v>
      </c>
      <c r="K588" t="s">
        <v>20</v>
      </c>
    </row>
    <row r="589" spans="1:13" x14ac:dyDescent="0.3">
      <c r="A589" t="s">
        <v>15</v>
      </c>
      <c r="B589" t="s">
        <v>15</v>
      </c>
      <c r="C589" t="s">
        <v>15</v>
      </c>
      <c r="D589" t="s">
        <v>15</v>
      </c>
      <c r="E589" t="s">
        <v>15</v>
      </c>
      <c r="F589" t="s">
        <v>15</v>
      </c>
      <c r="G589" t="s">
        <v>15</v>
      </c>
      <c r="H589" t="s">
        <v>15</v>
      </c>
      <c r="I589" t="s">
        <v>15</v>
      </c>
      <c r="J589" t="s">
        <v>15</v>
      </c>
      <c r="K589" t="s">
        <v>15</v>
      </c>
      <c r="L589" t="s">
        <v>16</v>
      </c>
      <c r="M589" t="s">
        <v>17</v>
      </c>
    </row>
    <row r="590" spans="1:13" x14ac:dyDescent="0.3">
      <c r="A590">
        <v>58.18</v>
      </c>
      <c r="B590">
        <v>58.18</v>
      </c>
      <c r="C590">
        <v>58.18</v>
      </c>
      <c r="D590">
        <v>58.18</v>
      </c>
      <c r="E590">
        <v>58.18</v>
      </c>
      <c r="F590">
        <v>58.18</v>
      </c>
      <c r="G590">
        <v>58.18</v>
      </c>
      <c r="H590">
        <v>58.18</v>
      </c>
      <c r="I590">
        <v>58.18</v>
      </c>
      <c r="J590">
        <v>58.18</v>
      </c>
      <c r="K590">
        <v>58.18</v>
      </c>
    </row>
    <row r="591" spans="1:13" x14ac:dyDescent="0.3">
      <c r="A591">
        <v>-1.04</v>
      </c>
      <c r="B591">
        <v>-1.04</v>
      </c>
      <c r="C591">
        <v>-1.04</v>
      </c>
      <c r="D591">
        <v>-1.04</v>
      </c>
      <c r="E591">
        <v>-1.04</v>
      </c>
      <c r="F591">
        <v>-1.04</v>
      </c>
      <c r="G591">
        <v>-1.04</v>
      </c>
      <c r="H591">
        <v>-1.04</v>
      </c>
      <c r="I591">
        <v>-1.04</v>
      </c>
      <c r="J591">
        <v>-1.04</v>
      </c>
      <c r="K591">
        <v>-1.04</v>
      </c>
    </row>
    <row r="592" spans="1:13" x14ac:dyDescent="0.3">
      <c r="A592">
        <v>300</v>
      </c>
      <c r="B592">
        <v>300</v>
      </c>
      <c r="C592">
        <v>300</v>
      </c>
      <c r="D592">
        <v>300</v>
      </c>
      <c r="E592">
        <v>300</v>
      </c>
      <c r="F592">
        <v>300</v>
      </c>
      <c r="G592">
        <v>300</v>
      </c>
      <c r="H592">
        <v>300</v>
      </c>
      <c r="I592">
        <v>300</v>
      </c>
      <c r="J592">
        <v>300</v>
      </c>
      <c r="K592">
        <v>300</v>
      </c>
    </row>
    <row r="593" spans="1:13" x14ac:dyDescent="0.3">
      <c r="A593">
        <v>58.2</v>
      </c>
      <c r="B593">
        <v>58.2</v>
      </c>
      <c r="C593">
        <v>58.2</v>
      </c>
      <c r="D593">
        <v>58.2</v>
      </c>
      <c r="E593">
        <v>58.2</v>
      </c>
      <c r="F593">
        <v>58.2</v>
      </c>
      <c r="G593">
        <v>58.2</v>
      </c>
      <c r="H593">
        <v>58.2</v>
      </c>
      <c r="I593">
        <v>58.2</v>
      </c>
      <c r="J593">
        <v>58.2</v>
      </c>
      <c r="K593">
        <v>58.2</v>
      </c>
    </row>
    <row r="594" spans="1:13" x14ac:dyDescent="0.3">
      <c r="A594">
        <v>58.27</v>
      </c>
      <c r="B594">
        <v>58.27</v>
      </c>
      <c r="C594">
        <v>58.27</v>
      </c>
      <c r="D594">
        <v>58.27</v>
      </c>
      <c r="E594">
        <v>58.27</v>
      </c>
      <c r="F594">
        <v>58.27</v>
      </c>
      <c r="G594">
        <v>58.27</v>
      </c>
      <c r="H594">
        <v>58.27</v>
      </c>
      <c r="I594">
        <v>58.27</v>
      </c>
      <c r="J594">
        <v>58.27</v>
      </c>
      <c r="K594">
        <v>58.27</v>
      </c>
    </row>
    <row r="595" spans="1:13" x14ac:dyDescent="0.3">
      <c r="A595">
        <v>400</v>
      </c>
      <c r="B595">
        <v>400</v>
      </c>
      <c r="C595">
        <v>400</v>
      </c>
      <c r="D595">
        <v>400</v>
      </c>
      <c r="E595">
        <v>400</v>
      </c>
      <c r="F595">
        <v>400</v>
      </c>
      <c r="G595">
        <v>400</v>
      </c>
      <c r="H595">
        <v>400</v>
      </c>
      <c r="I595">
        <v>400</v>
      </c>
      <c r="J595">
        <v>400</v>
      </c>
      <c r="K595">
        <v>400</v>
      </c>
    </row>
    <row r="596" spans="1:13" x14ac:dyDescent="0.3">
      <c r="A596" t="s">
        <v>24</v>
      </c>
      <c r="B596" t="s">
        <v>24</v>
      </c>
      <c r="C596" t="s">
        <v>24</v>
      </c>
      <c r="D596" t="s">
        <v>24</v>
      </c>
      <c r="E596" t="s">
        <v>24</v>
      </c>
      <c r="F596" t="s">
        <v>24</v>
      </c>
      <c r="G596" t="s">
        <v>24</v>
      </c>
      <c r="H596" t="s">
        <v>24</v>
      </c>
      <c r="I596" t="s">
        <v>24</v>
      </c>
      <c r="J596" t="s">
        <v>24</v>
      </c>
      <c r="K596" t="s">
        <v>24</v>
      </c>
    </row>
    <row r="597" spans="1:13" x14ac:dyDescent="0.3">
      <c r="A597">
        <v>23371095</v>
      </c>
      <c r="B597">
        <v>23371095</v>
      </c>
      <c r="C597">
        <v>23371095</v>
      </c>
      <c r="D597">
        <v>23371095</v>
      </c>
      <c r="E597">
        <v>23371095</v>
      </c>
      <c r="F597">
        <v>23371095</v>
      </c>
      <c r="G597">
        <v>23371095</v>
      </c>
      <c r="H597">
        <v>23371095</v>
      </c>
      <c r="I597">
        <v>23371095</v>
      </c>
      <c r="J597">
        <v>23371095</v>
      </c>
      <c r="K597">
        <v>23371095</v>
      </c>
    </row>
    <row r="598" spans="1:13" x14ac:dyDescent="0.3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1:13" x14ac:dyDescent="0.3">
      <c r="A599" t="s">
        <v>19</v>
      </c>
      <c r="B599" t="s">
        <v>19</v>
      </c>
      <c r="C599" t="s">
        <v>19</v>
      </c>
      <c r="D599" t="s">
        <v>19</v>
      </c>
      <c r="E599" t="s">
        <v>19</v>
      </c>
      <c r="F599" t="s">
        <v>19</v>
      </c>
      <c r="G599" t="s">
        <v>19</v>
      </c>
      <c r="H599" t="s">
        <v>19</v>
      </c>
      <c r="I599" t="s">
        <v>19</v>
      </c>
      <c r="J599" t="s">
        <v>19</v>
      </c>
      <c r="K599" t="s">
        <v>19</v>
      </c>
    </row>
    <row r="600" spans="1:13" x14ac:dyDescent="0.3">
      <c r="A600" t="s">
        <v>20</v>
      </c>
      <c r="B600" t="s">
        <v>20</v>
      </c>
      <c r="C600" t="s">
        <v>20</v>
      </c>
      <c r="D600" t="s">
        <v>20</v>
      </c>
      <c r="E600" t="s">
        <v>20</v>
      </c>
      <c r="F600" t="s">
        <v>20</v>
      </c>
      <c r="G600" t="s">
        <v>20</v>
      </c>
      <c r="H600" t="s">
        <v>20</v>
      </c>
      <c r="I600" t="s">
        <v>20</v>
      </c>
      <c r="J600" t="s">
        <v>20</v>
      </c>
      <c r="K600" t="s">
        <v>20</v>
      </c>
    </row>
    <row r="601" spans="1:13" x14ac:dyDescent="0.3">
      <c r="A601" t="s">
        <v>15</v>
      </c>
      <c r="B601" t="s">
        <v>15</v>
      </c>
      <c r="C601" t="s">
        <v>15</v>
      </c>
      <c r="D601" t="s">
        <v>15</v>
      </c>
      <c r="E601" t="s">
        <v>15</v>
      </c>
      <c r="F601" t="s">
        <v>15</v>
      </c>
      <c r="G601" t="s">
        <v>15</v>
      </c>
      <c r="H601" t="s">
        <v>15</v>
      </c>
      <c r="I601" t="s">
        <v>15</v>
      </c>
      <c r="J601" t="s">
        <v>15</v>
      </c>
      <c r="K601" t="s">
        <v>15</v>
      </c>
      <c r="L601" t="s">
        <v>16</v>
      </c>
      <c r="M601" t="s">
        <v>17</v>
      </c>
    </row>
    <row r="602" spans="1:13" x14ac:dyDescent="0.3">
      <c r="A602">
        <v>389.38</v>
      </c>
      <c r="B602">
        <v>389.38</v>
      </c>
      <c r="C602">
        <v>389.38</v>
      </c>
      <c r="D602">
        <v>389.38</v>
      </c>
      <c r="E602">
        <v>389.38</v>
      </c>
      <c r="F602">
        <v>389.38</v>
      </c>
      <c r="G602">
        <v>389.38</v>
      </c>
      <c r="H602">
        <v>389.38</v>
      </c>
      <c r="I602">
        <v>389.38</v>
      </c>
      <c r="J602">
        <v>389.38</v>
      </c>
      <c r="K602">
        <v>389.38</v>
      </c>
    </row>
    <row r="603" spans="1:13" x14ac:dyDescent="0.3">
      <c r="A603">
        <v>-0.85</v>
      </c>
      <c r="B603">
        <v>-0.85</v>
      </c>
      <c r="C603">
        <v>-0.85</v>
      </c>
      <c r="D603">
        <v>-0.85</v>
      </c>
      <c r="E603">
        <v>-0.85</v>
      </c>
      <c r="F603">
        <v>-0.85</v>
      </c>
      <c r="G603">
        <v>-0.85</v>
      </c>
      <c r="H603">
        <v>-0.85</v>
      </c>
      <c r="I603">
        <v>-0.85</v>
      </c>
      <c r="J603">
        <v>-0.85</v>
      </c>
      <c r="K603">
        <v>-0.85</v>
      </c>
    </row>
    <row r="604" spans="1:13" x14ac:dyDescent="0.3">
      <c r="A604">
        <v>100</v>
      </c>
      <c r="B604">
        <v>100</v>
      </c>
      <c r="C604">
        <v>100</v>
      </c>
      <c r="D604">
        <v>100</v>
      </c>
      <c r="E604">
        <v>100</v>
      </c>
      <c r="F604">
        <v>100</v>
      </c>
      <c r="G604">
        <v>100</v>
      </c>
      <c r="H604">
        <v>100</v>
      </c>
      <c r="I604">
        <v>100</v>
      </c>
      <c r="J604">
        <v>100</v>
      </c>
      <c r="K604">
        <v>100</v>
      </c>
    </row>
    <row r="605" spans="1:13" x14ac:dyDescent="0.3">
      <c r="A605">
        <v>383.2</v>
      </c>
      <c r="B605">
        <v>383.2</v>
      </c>
      <c r="C605">
        <v>383.2</v>
      </c>
      <c r="D605">
        <v>383.2</v>
      </c>
      <c r="E605">
        <v>383.2</v>
      </c>
      <c r="F605">
        <v>383.2</v>
      </c>
      <c r="G605">
        <v>383.2</v>
      </c>
      <c r="H605">
        <v>383.2</v>
      </c>
      <c r="I605">
        <v>383.2</v>
      </c>
      <c r="J605">
        <v>383.2</v>
      </c>
      <c r="K605">
        <v>383.2</v>
      </c>
    </row>
    <row r="606" spans="1:13" x14ac:dyDescent="0.3">
      <c r="A606">
        <v>390.97</v>
      </c>
      <c r="B606">
        <v>390.97</v>
      </c>
      <c r="C606">
        <v>390.97</v>
      </c>
      <c r="D606">
        <v>390.97</v>
      </c>
      <c r="E606">
        <v>390.97</v>
      </c>
      <c r="F606">
        <v>390.97</v>
      </c>
      <c r="G606">
        <v>390.97</v>
      </c>
      <c r="H606">
        <v>390.97</v>
      </c>
      <c r="I606">
        <v>390.97</v>
      </c>
      <c r="J606">
        <v>390.97</v>
      </c>
      <c r="K606">
        <v>390.97</v>
      </c>
    </row>
    <row r="607" spans="1:13" x14ac:dyDescent="0.3">
      <c r="A607">
        <v>100</v>
      </c>
      <c r="B607">
        <v>100</v>
      </c>
      <c r="C607">
        <v>100</v>
      </c>
      <c r="D607">
        <v>100</v>
      </c>
      <c r="E607">
        <v>100</v>
      </c>
      <c r="F607">
        <v>100</v>
      </c>
      <c r="G607">
        <v>100</v>
      </c>
      <c r="H607">
        <v>100</v>
      </c>
      <c r="I607">
        <v>100</v>
      </c>
      <c r="J607">
        <v>100</v>
      </c>
      <c r="K607">
        <v>100</v>
      </c>
    </row>
    <row r="608" spans="1:13" x14ac:dyDescent="0.3">
      <c r="A608" t="s">
        <v>37</v>
      </c>
      <c r="B608" t="s">
        <v>37</v>
      </c>
      <c r="C608" t="s">
        <v>37</v>
      </c>
      <c r="D608" t="s">
        <v>37</v>
      </c>
      <c r="E608" t="s">
        <v>37</v>
      </c>
      <c r="F608" t="s">
        <v>37</v>
      </c>
      <c r="G608" t="s">
        <v>37</v>
      </c>
      <c r="H608" t="s">
        <v>37</v>
      </c>
      <c r="I608" t="s">
        <v>37</v>
      </c>
      <c r="J608" t="s">
        <v>37</v>
      </c>
      <c r="K608" t="s">
        <v>37</v>
      </c>
    </row>
    <row r="609" spans="1:13" x14ac:dyDescent="0.3">
      <c r="A609">
        <v>866526</v>
      </c>
      <c r="B609">
        <v>866526</v>
      </c>
      <c r="C609">
        <v>866526</v>
      </c>
      <c r="D609">
        <v>866526</v>
      </c>
      <c r="E609">
        <v>866526</v>
      </c>
      <c r="F609">
        <v>866526</v>
      </c>
      <c r="G609">
        <v>866526</v>
      </c>
      <c r="H609">
        <v>866526</v>
      </c>
      <c r="I609">
        <v>866526</v>
      </c>
      <c r="J609">
        <v>866526</v>
      </c>
      <c r="K609">
        <v>866526</v>
      </c>
    </row>
    <row r="610" spans="1:13" x14ac:dyDescent="0.3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1:13" x14ac:dyDescent="0.3">
      <c r="A611" t="s">
        <v>19</v>
      </c>
      <c r="B611" t="s">
        <v>19</v>
      </c>
      <c r="C611" t="s">
        <v>19</v>
      </c>
      <c r="D611" t="s">
        <v>19</v>
      </c>
      <c r="E611" t="s">
        <v>19</v>
      </c>
      <c r="F611" t="s">
        <v>19</v>
      </c>
      <c r="G611" t="s">
        <v>19</v>
      </c>
      <c r="H611" t="s">
        <v>19</v>
      </c>
      <c r="I611" t="s">
        <v>19</v>
      </c>
      <c r="J611" t="s">
        <v>19</v>
      </c>
      <c r="K611" t="s">
        <v>19</v>
      </c>
    </row>
    <row r="612" spans="1:13" x14ac:dyDescent="0.3">
      <c r="A612" t="s">
        <v>20</v>
      </c>
      <c r="B612" t="s">
        <v>20</v>
      </c>
      <c r="C612" t="s">
        <v>20</v>
      </c>
      <c r="D612" t="s">
        <v>20</v>
      </c>
      <c r="E612" t="s">
        <v>20</v>
      </c>
      <c r="F612" t="s">
        <v>20</v>
      </c>
      <c r="G612" t="s">
        <v>20</v>
      </c>
      <c r="H612" t="s">
        <v>20</v>
      </c>
      <c r="I612" t="s">
        <v>20</v>
      </c>
      <c r="J612" t="s">
        <v>20</v>
      </c>
      <c r="K612" t="s">
        <v>20</v>
      </c>
    </row>
    <row r="613" spans="1:13" x14ac:dyDescent="0.3">
      <c r="A613" t="s">
        <v>15</v>
      </c>
      <c r="B613" t="s">
        <v>15</v>
      </c>
      <c r="C613" t="s">
        <v>15</v>
      </c>
      <c r="D613" t="s">
        <v>15</v>
      </c>
      <c r="E613" t="s">
        <v>15</v>
      </c>
      <c r="F613" t="s">
        <v>15</v>
      </c>
      <c r="G613" t="s">
        <v>15</v>
      </c>
      <c r="H613" t="s">
        <v>15</v>
      </c>
      <c r="I613" t="s">
        <v>15</v>
      </c>
      <c r="J613" t="s">
        <v>15</v>
      </c>
      <c r="K613" t="s">
        <v>15</v>
      </c>
      <c r="L613" t="s">
        <v>16</v>
      </c>
      <c r="M613" t="s">
        <v>17</v>
      </c>
    </row>
    <row r="614" spans="1:13" x14ac:dyDescent="0.3">
      <c r="A614">
        <v>762.25</v>
      </c>
      <c r="B614">
        <v>762.25</v>
      </c>
      <c r="C614">
        <v>762.25</v>
      </c>
      <c r="D614">
        <v>762.25</v>
      </c>
      <c r="E614">
        <v>762.25</v>
      </c>
      <c r="F614">
        <v>762.25</v>
      </c>
      <c r="G614">
        <v>762.25</v>
      </c>
      <c r="H614">
        <v>762.25</v>
      </c>
      <c r="I614">
        <v>762.25</v>
      </c>
      <c r="J614">
        <v>762.25</v>
      </c>
      <c r="K614">
        <v>762.25</v>
      </c>
    </row>
    <row r="615" spans="1:13" x14ac:dyDescent="0.3">
      <c r="A615">
        <v>0.69</v>
      </c>
      <c r="B615">
        <v>0.69</v>
      </c>
      <c r="C615">
        <v>0.69</v>
      </c>
      <c r="D615">
        <v>0.69</v>
      </c>
      <c r="E615">
        <v>0.69</v>
      </c>
      <c r="F615">
        <v>0.69</v>
      </c>
      <c r="G615">
        <v>0.69</v>
      </c>
      <c r="H615">
        <v>0.69</v>
      </c>
      <c r="I615">
        <v>0.69</v>
      </c>
      <c r="J615">
        <v>0.69</v>
      </c>
      <c r="K615">
        <v>0.69</v>
      </c>
    </row>
    <row r="616" spans="1:13" x14ac:dyDescent="0.3">
      <c r="A616">
        <v>100</v>
      </c>
      <c r="B616">
        <v>100</v>
      </c>
      <c r="C616">
        <v>100</v>
      </c>
      <c r="D616">
        <v>100</v>
      </c>
      <c r="E616">
        <v>100</v>
      </c>
      <c r="F616">
        <v>100</v>
      </c>
      <c r="G616">
        <v>100</v>
      </c>
      <c r="H616">
        <v>100</v>
      </c>
      <c r="I616">
        <v>100</v>
      </c>
      <c r="J616">
        <v>100</v>
      </c>
      <c r="K616">
        <v>100</v>
      </c>
    </row>
    <row r="617" spans="1:13" x14ac:dyDescent="0.3">
      <c r="A617">
        <v>755.55</v>
      </c>
      <c r="B617">
        <v>755.55</v>
      </c>
      <c r="C617">
        <v>755.55</v>
      </c>
      <c r="D617">
        <v>755.55</v>
      </c>
      <c r="E617">
        <v>755.55</v>
      </c>
      <c r="F617">
        <v>755.55</v>
      </c>
      <c r="G617">
        <v>755.55</v>
      </c>
      <c r="H617">
        <v>755.55</v>
      </c>
      <c r="I617">
        <v>755.55</v>
      </c>
      <c r="J617">
        <v>755.55</v>
      </c>
      <c r="K617">
        <v>755.55</v>
      </c>
    </row>
    <row r="618" spans="1:13" x14ac:dyDescent="0.3">
      <c r="A618">
        <v>762.25</v>
      </c>
      <c r="B618">
        <v>762.25</v>
      </c>
      <c r="C618">
        <v>762.25</v>
      </c>
      <c r="D618">
        <v>762.25</v>
      </c>
      <c r="E618">
        <v>762.25</v>
      </c>
      <c r="F618">
        <v>762.25</v>
      </c>
      <c r="G618">
        <v>762.25</v>
      </c>
      <c r="H618">
        <v>762.25</v>
      </c>
      <c r="I618">
        <v>762.25</v>
      </c>
      <c r="J618">
        <v>762.25</v>
      </c>
      <c r="K618">
        <v>762.25</v>
      </c>
    </row>
    <row r="619" spans="1:13" x14ac:dyDescent="0.3">
      <c r="A619">
        <v>200</v>
      </c>
      <c r="B619">
        <v>200</v>
      </c>
      <c r="C619">
        <v>200</v>
      </c>
      <c r="D619">
        <v>200</v>
      </c>
      <c r="E619">
        <v>200</v>
      </c>
      <c r="F619">
        <v>200</v>
      </c>
      <c r="G619">
        <v>200</v>
      </c>
      <c r="H619">
        <v>200</v>
      </c>
      <c r="I619">
        <v>200</v>
      </c>
      <c r="J619">
        <v>200</v>
      </c>
      <c r="K619">
        <v>200</v>
      </c>
    </row>
    <row r="620" spans="1:13" x14ac:dyDescent="0.3">
      <c r="A620" t="s">
        <v>29</v>
      </c>
      <c r="B620" t="s">
        <v>29</v>
      </c>
      <c r="C620" t="s">
        <v>29</v>
      </c>
      <c r="D620" t="s">
        <v>29</v>
      </c>
      <c r="E620" t="s">
        <v>29</v>
      </c>
      <c r="F620" t="s">
        <v>29</v>
      </c>
      <c r="G620" t="s">
        <v>29</v>
      </c>
      <c r="H620" t="s">
        <v>29</v>
      </c>
      <c r="I620" t="s">
        <v>29</v>
      </c>
      <c r="J620" t="s">
        <v>29</v>
      </c>
      <c r="K620" t="s">
        <v>29</v>
      </c>
    </row>
    <row r="621" spans="1:13" x14ac:dyDescent="0.3">
      <c r="A621">
        <v>429523</v>
      </c>
      <c r="B621">
        <v>429523</v>
      </c>
      <c r="C621">
        <v>429523</v>
      </c>
      <c r="D621">
        <v>429523</v>
      </c>
      <c r="E621">
        <v>429523</v>
      </c>
      <c r="F621">
        <v>429523</v>
      </c>
      <c r="G621">
        <v>429523</v>
      </c>
      <c r="H621">
        <v>429523</v>
      </c>
      <c r="I621">
        <v>429523</v>
      </c>
      <c r="J621">
        <v>429523</v>
      </c>
      <c r="K621">
        <v>429523</v>
      </c>
    </row>
    <row r="622" spans="1:13" x14ac:dyDescent="0.3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</row>
    <row r="623" spans="1:13" x14ac:dyDescent="0.3">
      <c r="A623" t="s">
        <v>19</v>
      </c>
      <c r="B623" t="s">
        <v>19</v>
      </c>
      <c r="C623" t="s">
        <v>19</v>
      </c>
      <c r="D623" t="s">
        <v>19</v>
      </c>
      <c r="E623" t="s">
        <v>19</v>
      </c>
      <c r="F623" t="s">
        <v>19</v>
      </c>
      <c r="G623" t="s">
        <v>19</v>
      </c>
      <c r="H623" t="s">
        <v>19</v>
      </c>
      <c r="I623" t="s">
        <v>19</v>
      </c>
      <c r="J623" t="s">
        <v>19</v>
      </c>
      <c r="K623" t="s">
        <v>19</v>
      </c>
    </row>
    <row r="624" spans="1:13" x14ac:dyDescent="0.3">
      <c r="A624" t="s">
        <v>28</v>
      </c>
      <c r="B624" t="s">
        <v>28</v>
      </c>
      <c r="C624" t="s">
        <v>28</v>
      </c>
      <c r="D624" t="s">
        <v>28</v>
      </c>
      <c r="E624" t="s">
        <v>28</v>
      </c>
      <c r="F624" t="s">
        <v>28</v>
      </c>
      <c r="G624" t="s">
        <v>28</v>
      </c>
      <c r="H624" t="s">
        <v>28</v>
      </c>
      <c r="I624" t="s">
        <v>28</v>
      </c>
      <c r="J624" t="s">
        <v>28</v>
      </c>
      <c r="K624" t="s">
        <v>28</v>
      </c>
    </row>
    <row r="625" spans="1:13" x14ac:dyDescent="0.3">
      <c r="A625" t="s">
        <v>15</v>
      </c>
      <c r="B625" t="s">
        <v>15</v>
      </c>
      <c r="C625" t="s">
        <v>15</v>
      </c>
      <c r="D625" t="s">
        <v>15</v>
      </c>
      <c r="E625" t="s">
        <v>15</v>
      </c>
      <c r="F625" t="s">
        <v>15</v>
      </c>
      <c r="G625" t="s">
        <v>15</v>
      </c>
      <c r="H625" t="s">
        <v>15</v>
      </c>
      <c r="I625" t="s">
        <v>15</v>
      </c>
      <c r="J625" t="s">
        <v>15</v>
      </c>
      <c r="K625" t="s">
        <v>15</v>
      </c>
      <c r="L625" t="s">
        <v>16</v>
      </c>
      <c r="M625" t="s">
        <v>17</v>
      </c>
    </row>
    <row r="626" spans="1:13" x14ac:dyDescent="0.3">
      <c r="A626">
        <v>96.64</v>
      </c>
      <c r="B626">
        <v>96.64</v>
      </c>
      <c r="C626">
        <v>96.64</v>
      </c>
      <c r="D626">
        <v>96.64</v>
      </c>
      <c r="E626">
        <v>96.64</v>
      </c>
      <c r="F626">
        <v>96.64</v>
      </c>
      <c r="G626">
        <v>96.64</v>
      </c>
      <c r="H626">
        <v>96.64</v>
      </c>
      <c r="I626">
        <v>96.64</v>
      </c>
      <c r="J626">
        <v>96.64</v>
      </c>
      <c r="K626">
        <v>96.64</v>
      </c>
    </row>
    <row r="627" spans="1:13" x14ac:dyDescent="0.3">
      <c r="A627">
        <v>2.12</v>
      </c>
      <c r="B627">
        <v>2.12</v>
      </c>
      <c r="C627">
        <v>2.12</v>
      </c>
      <c r="D627">
        <v>2.12</v>
      </c>
      <c r="E627">
        <v>2.12</v>
      </c>
      <c r="F627">
        <v>2.12</v>
      </c>
      <c r="G627">
        <v>2.12</v>
      </c>
      <c r="H627">
        <v>2.12</v>
      </c>
      <c r="I627">
        <v>2.12</v>
      </c>
      <c r="J627">
        <v>2.12</v>
      </c>
      <c r="K627">
        <v>2.12</v>
      </c>
    </row>
    <row r="628" spans="1:13" x14ac:dyDescent="0.3">
      <c r="A628">
        <v>100</v>
      </c>
      <c r="B628">
        <v>100</v>
      </c>
      <c r="C628">
        <v>100</v>
      </c>
      <c r="D628">
        <v>100</v>
      </c>
      <c r="E628">
        <v>100</v>
      </c>
      <c r="F628">
        <v>100</v>
      </c>
      <c r="G628">
        <v>100</v>
      </c>
      <c r="H628">
        <v>100</v>
      </c>
      <c r="I628">
        <v>100</v>
      </c>
      <c r="J628">
        <v>100</v>
      </c>
      <c r="K628">
        <v>100</v>
      </c>
    </row>
    <row r="629" spans="1:13" x14ac:dyDescent="0.3">
      <c r="A629">
        <v>96.25</v>
      </c>
      <c r="B629">
        <v>96.25</v>
      </c>
      <c r="C629">
        <v>96.25</v>
      </c>
      <c r="D629">
        <v>96.25</v>
      </c>
      <c r="E629">
        <v>96.25</v>
      </c>
      <c r="F629">
        <v>96.25</v>
      </c>
      <c r="G629">
        <v>96.25</v>
      </c>
      <c r="H629">
        <v>96.25</v>
      </c>
      <c r="I629">
        <v>96.25</v>
      </c>
      <c r="J629">
        <v>96.25</v>
      </c>
      <c r="K629">
        <v>96.25</v>
      </c>
    </row>
    <row r="630" spans="1:13" x14ac:dyDescent="0.3">
      <c r="A630">
        <v>96.55</v>
      </c>
      <c r="B630">
        <v>96.55</v>
      </c>
      <c r="C630">
        <v>96.55</v>
      </c>
      <c r="D630">
        <v>96.55</v>
      </c>
      <c r="E630">
        <v>96.55</v>
      </c>
      <c r="F630">
        <v>96.55</v>
      </c>
      <c r="G630">
        <v>96.55</v>
      </c>
      <c r="H630">
        <v>96.55</v>
      </c>
      <c r="I630">
        <v>96.55</v>
      </c>
      <c r="J630">
        <v>96.55</v>
      </c>
      <c r="K630">
        <v>96.55</v>
      </c>
    </row>
    <row r="631" spans="1:13" x14ac:dyDescent="0.3">
      <c r="A631">
        <v>300</v>
      </c>
      <c r="B631">
        <v>300</v>
      </c>
      <c r="C631">
        <v>300</v>
      </c>
      <c r="D631">
        <v>300</v>
      </c>
      <c r="E631">
        <v>300</v>
      </c>
      <c r="F631">
        <v>300</v>
      </c>
      <c r="G631">
        <v>300</v>
      </c>
      <c r="H631">
        <v>300</v>
      </c>
      <c r="I631">
        <v>300</v>
      </c>
      <c r="J631">
        <v>300</v>
      </c>
      <c r="K631">
        <v>300</v>
      </c>
    </row>
    <row r="632" spans="1:13" x14ac:dyDescent="0.3">
      <c r="A632" t="s">
        <v>22</v>
      </c>
      <c r="B632" t="s">
        <v>22</v>
      </c>
      <c r="C632" t="s">
        <v>22</v>
      </c>
      <c r="D632" t="s">
        <v>22</v>
      </c>
      <c r="E632" t="s">
        <v>22</v>
      </c>
      <c r="F632" t="s">
        <v>22</v>
      </c>
      <c r="G632" t="s">
        <v>22</v>
      </c>
      <c r="H632" t="s">
        <v>22</v>
      </c>
      <c r="I632" t="s">
        <v>22</v>
      </c>
      <c r="J632" t="s">
        <v>22</v>
      </c>
      <c r="K632" t="s">
        <v>22</v>
      </c>
    </row>
    <row r="633" spans="1:13" x14ac:dyDescent="0.3">
      <c r="A633">
        <v>5803867</v>
      </c>
      <c r="B633">
        <v>5803867</v>
      </c>
      <c r="C633">
        <v>5803867</v>
      </c>
      <c r="D633">
        <v>5803867</v>
      </c>
      <c r="E633">
        <v>5803867</v>
      </c>
      <c r="F633">
        <v>5803867</v>
      </c>
      <c r="G633">
        <v>5803867</v>
      </c>
      <c r="H633">
        <v>5803867</v>
      </c>
      <c r="I633">
        <v>5803867</v>
      </c>
      <c r="J633">
        <v>5803867</v>
      </c>
      <c r="K633">
        <v>5803867</v>
      </c>
    </row>
    <row r="634" spans="1:13" x14ac:dyDescent="0.3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</row>
    <row r="635" spans="1:13" x14ac:dyDescent="0.3">
      <c r="A635" t="s">
        <v>19</v>
      </c>
      <c r="B635" t="s">
        <v>19</v>
      </c>
      <c r="C635" t="s">
        <v>19</v>
      </c>
      <c r="D635" t="s">
        <v>19</v>
      </c>
      <c r="E635" t="s">
        <v>19</v>
      </c>
      <c r="F635" t="s">
        <v>19</v>
      </c>
      <c r="G635" t="s">
        <v>19</v>
      </c>
      <c r="H635" t="s">
        <v>19</v>
      </c>
      <c r="I635" t="s">
        <v>19</v>
      </c>
      <c r="J635" t="s">
        <v>19</v>
      </c>
      <c r="K635" t="s">
        <v>19</v>
      </c>
    </row>
    <row r="636" spans="1:13" x14ac:dyDescent="0.3">
      <c r="A636" t="s">
        <v>20</v>
      </c>
      <c r="B636" t="s">
        <v>20</v>
      </c>
      <c r="C636" t="s">
        <v>20</v>
      </c>
      <c r="D636" t="s">
        <v>20</v>
      </c>
      <c r="E636" t="s">
        <v>20</v>
      </c>
      <c r="F636" t="s">
        <v>20</v>
      </c>
      <c r="G636" t="s">
        <v>20</v>
      </c>
      <c r="H636" t="s">
        <v>20</v>
      </c>
      <c r="I636" t="s">
        <v>20</v>
      </c>
      <c r="J636" t="s">
        <v>20</v>
      </c>
      <c r="K636" t="s">
        <v>20</v>
      </c>
    </row>
    <row r="637" spans="1:13" x14ac:dyDescent="0.3">
      <c r="A637" t="s">
        <v>15</v>
      </c>
      <c r="B637" t="s">
        <v>15</v>
      </c>
      <c r="C637" t="s">
        <v>15</v>
      </c>
      <c r="D637" t="s">
        <v>15</v>
      </c>
      <c r="E637" t="s">
        <v>15</v>
      </c>
      <c r="F637" t="s">
        <v>15</v>
      </c>
      <c r="G637" t="s">
        <v>15</v>
      </c>
      <c r="H637" t="s">
        <v>15</v>
      </c>
      <c r="I637" t="s">
        <v>15</v>
      </c>
      <c r="J637" t="s">
        <v>15</v>
      </c>
      <c r="K637" t="s">
        <v>15</v>
      </c>
      <c r="L637" t="s">
        <v>16</v>
      </c>
      <c r="M637" t="s">
        <v>17</v>
      </c>
    </row>
    <row r="638" spans="1:13" x14ac:dyDescent="0.3">
      <c r="A638">
        <v>32.53</v>
      </c>
      <c r="B638">
        <v>32.53</v>
      </c>
      <c r="C638">
        <v>32.53</v>
      </c>
      <c r="D638">
        <v>32.53</v>
      </c>
      <c r="E638">
        <v>32.53</v>
      </c>
      <c r="F638">
        <v>32.53</v>
      </c>
      <c r="G638">
        <v>32.53</v>
      </c>
      <c r="H638">
        <v>32.53</v>
      </c>
      <c r="I638">
        <v>32.53</v>
      </c>
      <c r="J638">
        <v>32.53</v>
      </c>
      <c r="K638">
        <v>32.53</v>
      </c>
    </row>
    <row r="639" spans="1:13" x14ac:dyDescent="0.3">
      <c r="A639">
        <v>0.71</v>
      </c>
      <c r="B639">
        <v>0.71</v>
      </c>
      <c r="C639">
        <v>0.71</v>
      </c>
      <c r="D639">
        <v>0.71</v>
      </c>
      <c r="E639">
        <v>0.71</v>
      </c>
      <c r="F639">
        <v>0.71</v>
      </c>
      <c r="G639">
        <v>0.71</v>
      </c>
      <c r="H639">
        <v>0.71</v>
      </c>
      <c r="I639">
        <v>0.71</v>
      </c>
      <c r="J639">
        <v>0.71</v>
      </c>
      <c r="K639">
        <v>0.71</v>
      </c>
    </row>
    <row r="640" spans="1:13" x14ac:dyDescent="0.3">
      <c r="A640">
        <v>900</v>
      </c>
      <c r="B640">
        <v>900</v>
      </c>
      <c r="C640">
        <v>900</v>
      </c>
      <c r="D640">
        <v>900</v>
      </c>
      <c r="E640">
        <v>900</v>
      </c>
      <c r="F640">
        <v>900</v>
      </c>
      <c r="G640">
        <v>900</v>
      </c>
      <c r="H640">
        <v>900</v>
      </c>
      <c r="I640">
        <v>900</v>
      </c>
      <c r="J640">
        <v>900</v>
      </c>
      <c r="K640">
        <v>900</v>
      </c>
    </row>
    <row r="641" spans="1:13" x14ac:dyDescent="0.3">
      <c r="A641">
        <v>31.14</v>
      </c>
      <c r="B641">
        <v>31.14</v>
      </c>
      <c r="C641">
        <v>31.14</v>
      </c>
      <c r="D641">
        <v>31.14</v>
      </c>
      <c r="E641">
        <v>31.14</v>
      </c>
      <c r="F641">
        <v>31.14</v>
      </c>
      <c r="G641">
        <v>31.14</v>
      </c>
      <c r="H641">
        <v>31.14</v>
      </c>
      <c r="I641">
        <v>31.14</v>
      </c>
      <c r="J641">
        <v>31.14</v>
      </c>
      <c r="K641">
        <v>31.14</v>
      </c>
    </row>
    <row r="642" spans="1:13" x14ac:dyDescent="0.3">
      <c r="A642">
        <v>32.99</v>
      </c>
      <c r="B642">
        <v>32.99</v>
      </c>
      <c r="C642">
        <v>32.99</v>
      </c>
      <c r="D642">
        <v>32.99</v>
      </c>
      <c r="E642">
        <v>32.99</v>
      </c>
      <c r="F642">
        <v>32.99</v>
      </c>
      <c r="G642">
        <v>32.99</v>
      </c>
      <c r="H642">
        <v>32.99</v>
      </c>
      <c r="I642">
        <v>32.99</v>
      </c>
      <c r="J642">
        <v>32.99</v>
      </c>
      <c r="K642">
        <v>32.99</v>
      </c>
    </row>
    <row r="643" spans="1:13" x14ac:dyDescent="0.3">
      <c r="A643">
        <v>900</v>
      </c>
      <c r="B643">
        <v>900</v>
      </c>
      <c r="C643">
        <v>900</v>
      </c>
      <c r="D643">
        <v>900</v>
      </c>
      <c r="E643">
        <v>900</v>
      </c>
      <c r="F643">
        <v>900</v>
      </c>
      <c r="G643">
        <v>900</v>
      </c>
      <c r="H643">
        <v>900</v>
      </c>
      <c r="I643">
        <v>900</v>
      </c>
      <c r="J643">
        <v>900</v>
      </c>
      <c r="K643">
        <v>900</v>
      </c>
    </row>
    <row r="644" spans="1:13" x14ac:dyDescent="0.3">
      <c r="A644" t="s">
        <v>47</v>
      </c>
      <c r="B644" t="s">
        <v>47</v>
      </c>
      <c r="C644" t="s">
        <v>47</v>
      </c>
      <c r="D644" t="s">
        <v>47</v>
      </c>
      <c r="E644" t="s">
        <v>47</v>
      </c>
      <c r="F644" t="s">
        <v>47</v>
      </c>
      <c r="G644" t="s">
        <v>47</v>
      </c>
      <c r="H644" t="s">
        <v>47</v>
      </c>
      <c r="I644" t="s">
        <v>47</v>
      </c>
      <c r="J644" t="s">
        <v>47</v>
      </c>
      <c r="K644" t="s">
        <v>47</v>
      </c>
    </row>
    <row r="645" spans="1:13" x14ac:dyDescent="0.3">
      <c r="A645">
        <v>3542173</v>
      </c>
      <c r="B645">
        <v>3542173</v>
      </c>
      <c r="C645">
        <v>3542173</v>
      </c>
      <c r="D645">
        <v>3542173</v>
      </c>
      <c r="E645">
        <v>3542173</v>
      </c>
      <c r="F645">
        <v>3542173</v>
      </c>
      <c r="G645">
        <v>3542173</v>
      </c>
      <c r="H645">
        <v>3542173</v>
      </c>
      <c r="I645">
        <v>3542173</v>
      </c>
      <c r="J645">
        <v>3542173</v>
      </c>
      <c r="K645">
        <v>3542173</v>
      </c>
    </row>
    <row r="646" spans="1:13" x14ac:dyDescent="0.3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</row>
    <row r="647" spans="1:13" x14ac:dyDescent="0.3">
      <c r="A647" t="s">
        <v>19</v>
      </c>
      <c r="B647" t="s">
        <v>19</v>
      </c>
      <c r="C647" t="s">
        <v>19</v>
      </c>
      <c r="D647" t="s">
        <v>19</v>
      </c>
      <c r="E647" t="s">
        <v>19</v>
      </c>
      <c r="F647" t="s">
        <v>19</v>
      </c>
      <c r="G647" t="s">
        <v>19</v>
      </c>
      <c r="H647" t="s">
        <v>19</v>
      </c>
      <c r="I647" t="s">
        <v>19</v>
      </c>
      <c r="J647" t="s">
        <v>19</v>
      </c>
      <c r="K647" t="s">
        <v>19</v>
      </c>
    </row>
    <row r="648" spans="1:13" x14ac:dyDescent="0.3">
      <c r="A648" t="s">
        <v>28</v>
      </c>
      <c r="B648" t="s">
        <v>28</v>
      </c>
      <c r="C648" t="s">
        <v>28</v>
      </c>
      <c r="D648" t="s">
        <v>28</v>
      </c>
      <c r="E648" t="s">
        <v>28</v>
      </c>
      <c r="F648" t="s">
        <v>28</v>
      </c>
      <c r="G648" t="s">
        <v>28</v>
      </c>
      <c r="H648" t="s">
        <v>28</v>
      </c>
      <c r="I648" t="s">
        <v>28</v>
      </c>
      <c r="J648" t="s">
        <v>28</v>
      </c>
      <c r="K648" t="s">
        <v>28</v>
      </c>
    </row>
    <row r="649" spans="1:13" x14ac:dyDescent="0.3">
      <c r="A649" t="s">
        <v>15</v>
      </c>
      <c r="B649" t="s">
        <v>15</v>
      </c>
      <c r="C649" t="s">
        <v>15</v>
      </c>
      <c r="D649" t="s">
        <v>15</v>
      </c>
      <c r="E649" t="s">
        <v>15</v>
      </c>
      <c r="F649" t="s">
        <v>15</v>
      </c>
      <c r="G649" t="s">
        <v>15</v>
      </c>
      <c r="H649" t="s">
        <v>15</v>
      </c>
      <c r="I649" t="s">
        <v>15</v>
      </c>
      <c r="J649" t="s">
        <v>15</v>
      </c>
      <c r="K649" t="s">
        <v>15</v>
      </c>
      <c r="L649" t="s">
        <v>16</v>
      </c>
      <c r="M649" t="s">
        <v>17</v>
      </c>
    </row>
    <row r="650" spans="1:13" x14ac:dyDescent="0.3">
      <c r="A650">
        <v>288.02999999999997</v>
      </c>
      <c r="B650">
        <v>288.02999999999997</v>
      </c>
      <c r="C650">
        <v>288.02999999999997</v>
      </c>
      <c r="D650">
        <v>288.02999999999997</v>
      </c>
      <c r="E650">
        <v>288.02999999999997</v>
      </c>
      <c r="F650">
        <v>288.02999999999997</v>
      </c>
      <c r="G650">
        <v>288.02999999999997</v>
      </c>
      <c r="H650">
        <v>288.02999999999997</v>
      </c>
      <c r="I650">
        <v>288.02999999999997</v>
      </c>
      <c r="J650">
        <v>288.02999999999997</v>
      </c>
      <c r="K650">
        <v>288.02999999999997</v>
      </c>
    </row>
    <row r="651" spans="1:13" x14ac:dyDescent="0.3">
      <c r="A651">
        <v>-2.11</v>
      </c>
      <c r="B651">
        <v>-2.11</v>
      </c>
      <c r="C651">
        <v>-2.11</v>
      </c>
      <c r="D651">
        <v>-2.11</v>
      </c>
      <c r="E651">
        <v>-2.11</v>
      </c>
      <c r="F651">
        <v>-2.11</v>
      </c>
      <c r="G651">
        <v>-2.11</v>
      </c>
      <c r="H651">
        <v>-2.11</v>
      </c>
      <c r="I651">
        <v>-2.11</v>
      </c>
      <c r="J651">
        <v>-2.11</v>
      </c>
      <c r="K651">
        <v>-2.11</v>
      </c>
    </row>
    <row r="652" spans="1:13" x14ac:dyDescent="0.3">
      <c r="A652">
        <v>100</v>
      </c>
      <c r="B652">
        <v>100</v>
      </c>
      <c r="C652">
        <v>100</v>
      </c>
      <c r="D652">
        <v>100</v>
      </c>
      <c r="E652">
        <v>100</v>
      </c>
      <c r="F652">
        <v>100</v>
      </c>
      <c r="G652">
        <v>100</v>
      </c>
      <c r="H652">
        <v>100</v>
      </c>
      <c r="I652">
        <v>100</v>
      </c>
      <c r="J652">
        <v>100</v>
      </c>
      <c r="K652">
        <v>100</v>
      </c>
    </row>
    <row r="653" spans="1:13" x14ac:dyDescent="0.3">
      <c r="A653">
        <v>288</v>
      </c>
      <c r="B653">
        <v>288</v>
      </c>
      <c r="C653">
        <v>288</v>
      </c>
      <c r="D653">
        <v>288</v>
      </c>
      <c r="E653">
        <v>288</v>
      </c>
      <c r="F653">
        <v>288</v>
      </c>
      <c r="G653">
        <v>288</v>
      </c>
      <c r="H653">
        <v>288</v>
      </c>
      <c r="I653">
        <v>288</v>
      </c>
      <c r="J653">
        <v>288</v>
      </c>
      <c r="K653">
        <v>288</v>
      </c>
    </row>
    <row r="654" spans="1:13" x14ac:dyDescent="0.3">
      <c r="A654">
        <v>292.49</v>
      </c>
      <c r="B654">
        <v>292.49</v>
      </c>
      <c r="C654">
        <v>292.49</v>
      </c>
      <c r="D654">
        <v>292.49</v>
      </c>
      <c r="E654">
        <v>292.49</v>
      </c>
      <c r="F654">
        <v>292.49</v>
      </c>
      <c r="G654">
        <v>292.49</v>
      </c>
      <c r="H654">
        <v>292.49</v>
      </c>
      <c r="I654">
        <v>292.49</v>
      </c>
      <c r="J654">
        <v>292.49</v>
      </c>
      <c r="K654">
        <v>292.49</v>
      </c>
    </row>
    <row r="655" spans="1:13" x14ac:dyDescent="0.3">
      <c r="A655">
        <v>100</v>
      </c>
      <c r="B655">
        <v>100</v>
      </c>
      <c r="C655">
        <v>100</v>
      </c>
      <c r="D655">
        <v>100</v>
      </c>
      <c r="E655">
        <v>100</v>
      </c>
      <c r="F655">
        <v>100</v>
      </c>
      <c r="G655">
        <v>100</v>
      </c>
      <c r="H655">
        <v>100</v>
      </c>
      <c r="I655">
        <v>100</v>
      </c>
      <c r="J655">
        <v>100</v>
      </c>
      <c r="K655">
        <v>100</v>
      </c>
    </row>
    <row r="656" spans="1:13" x14ac:dyDescent="0.3">
      <c r="A656" t="s">
        <v>44</v>
      </c>
      <c r="B656" t="s">
        <v>44</v>
      </c>
      <c r="C656" t="s">
        <v>44</v>
      </c>
      <c r="D656" t="s">
        <v>44</v>
      </c>
      <c r="E656" t="s">
        <v>44</v>
      </c>
      <c r="F656" t="s">
        <v>44</v>
      </c>
      <c r="G656" t="s">
        <v>44</v>
      </c>
      <c r="H656" t="s">
        <v>44</v>
      </c>
      <c r="I656" t="s">
        <v>44</v>
      </c>
      <c r="J656" t="s">
        <v>44</v>
      </c>
      <c r="K656" t="s">
        <v>44</v>
      </c>
    </row>
    <row r="657" spans="1:13" x14ac:dyDescent="0.3">
      <c r="A657">
        <v>808143</v>
      </c>
      <c r="B657">
        <v>808143</v>
      </c>
      <c r="C657">
        <v>808143</v>
      </c>
      <c r="D657">
        <v>808143</v>
      </c>
      <c r="E657">
        <v>808143</v>
      </c>
      <c r="F657">
        <v>808143</v>
      </c>
      <c r="G657">
        <v>808143</v>
      </c>
      <c r="H657">
        <v>808143</v>
      </c>
      <c r="I657">
        <v>808143</v>
      </c>
      <c r="J657">
        <v>808143</v>
      </c>
      <c r="K657">
        <v>808143</v>
      </c>
    </row>
    <row r="658" spans="1:13" x14ac:dyDescent="0.3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</row>
    <row r="659" spans="1:13" x14ac:dyDescent="0.3">
      <c r="A659" t="s">
        <v>19</v>
      </c>
      <c r="B659" t="s">
        <v>19</v>
      </c>
      <c r="C659" t="s">
        <v>19</v>
      </c>
      <c r="D659" t="s">
        <v>19</v>
      </c>
      <c r="E659" t="s">
        <v>19</v>
      </c>
      <c r="F659" t="s">
        <v>19</v>
      </c>
      <c r="G659" t="s">
        <v>19</v>
      </c>
      <c r="H659" t="s">
        <v>19</v>
      </c>
      <c r="I659" t="s">
        <v>19</v>
      </c>
      <c r="J659" t="s">
        <v>19</v>
      </c>
      <c r="K659" t="s">
        <v>19</v>
      </c>
    </row>
    <row r="660" spans="1:13" x14ac:dyDescent="0.3">
      <c r="A660" t="s">
        <v>20</v>
      </c>
      <c r="B660" t="s">
        <v>20</v>
      </c>
      <c r="C660" t="s">
        <v>20</v>
      </c>
      <c r="D660" t="s">
        <v>20</v>
      </c>
      <c r="E660" t="s">
        <v>20</v>
      </c>
      <c r="F660" t="s">
        <v>20</v>
      </c>
      <c r="G660" t="s">
        <v>20</v>
      </c>
      <c r="H660" t="s">
        <v>20</v>
      </c>
      <c r="I660" t="s">
        <v>20</v>
      </c>
      <c r="J660" t="s">
        <v>20</v>
      </c>
      <c r="K660" t="s">
        <v>20</v>
      </c>
    </row>
    <row r="661" spans="1:13" x14ac:dyDescent="0.3">
      <c r="A661" t="s">
        <v>15</v>
      </c>
      <c r="B661" t="s">
        <v>15</v>
      </c>
      <c r="C661" t="s">
        <v>15</v>
      </c>
      <c r="D661" t="s">
        <v>15</v>
      </c>
      <c r="E661" t="s">
        <v>15</v>
      </c>
      <c r="F661" t="s">
        <v>15</v>
      </c>
      <c r="G661" t="s">
        <v>15</v>
      </c>
      <c r="H661" t="s">
        <v>15</v>
      </c>
      <c r="I661" t="s">
        <v>15</v>
      </c>
      <c r="J661" t="s">
        <v>15</v>
      </c>
      <c r="K661" t="s">
        <v>15</v>
      </c>
      <c r="L661" t="s">
        <v>16</v>
      </c>
      <c r="M661" t="s">
        <v>17</v>
      </c>
    </row>
    <row r="662" spans="1:13" x14ac:dyDescent="0.3">
      <c r="A662">
        <v>509.76</v>
      </c>
      <c r="B662">
        <v>509.76</v>
      </c>
      <c r="C662">
        <v>509.76</v>
      </c>
      <c r="D662">
        <v>509.76</v>
      </c>
      <c r="E662">
        <v>509.76</v>
      </c>
      <c r="F662">
        <v>509.76</v>
      </c>
      <c r="G662">
        <v>509.76</v>
      </c>
      <c r="H662">
        <v>509.76</v>
      </c>
      <c r="I662">
        <v>509.76</v>
      </c>
      <c r="J662">
        <v>509.76</v>
      </c>
      <c r="K662">
        <v>509.76</v>
      </c>
    </row>
    <row r="663" spans="1:13" x14ac:dyDescent="0.3">
      <c r="A663">
        <v>-1.88</v>
      </c>
      <c r="B663">
        <v>-1.88</v>
      </c>
      <c r="C663">
        <v>-1.88</v>
      </c>
      <c r="D663">
        <v>-1.88</v>
      </c>
      <c r="E663">
        <v>-1.88</v>
      </c>
      <c r="F663">
        <v>-1.88</v>
      </c>
      <c r="G663">
        <v>-1.88</v>
      </c>
      <c r="H663">
        <v>-1.88</v>
      </c>
      <c r="I663">
        <v>-1.88</v>
      </c>
      <c r="J663">
        <v>-1.88</v>
      </c>
      <c r="K663">
        <v>-1.88</v>
      </c>
    </row>
    <row r="664" spans="1:13" x14ac:dyDescent="0.3">
      <c r="A664">
        <v>100</v>
      </c>
      <c r="B664">
        <v>100</v>
      </c>
      <c r="C664">
        <v>100</v>
      </c>
      <c r="D664">
        <v>100</v>
      </c>
      <c r="E664">
        <v>100</v>
      </c>
      <c r="F664">
        <v>100</v>
      </c>
      <c r="G664">
        <v>100</v>
      </c>
      <c r="H664">
        <v>100</v>
      </c>
      <c r="I664">
        <v>100</v>
      </c>
      <c r="J664">
        <v>100</v>
      </c>
      <c r="K664">
        <v>100</v>
      </c>
    </row>
    <row r="665" spans="1:13" x14ac:dyDescent="0.3">
      <c r="A665">
        <v>509.01</v>
      </c>
      <c r="B665">
        <v>509.01</v>
      </c>
      <c r="C665">
        <v>509.01</v>
      </c>
      <c r="D665">
        <v>509.01</v>
      </c>
      <c r="E665">
        <v>509.01</v>
      </c>
      <c r="F665">
        <v>509.01</v>
      </c>
      <c r="G665">
        <v>509.01</v>
      </c>
      <c r="H665">
        <v>509.01</v>
      </c>
      <c r="I665">
        <v>509.01</v>
      </c>
      <c r="J665">
        <v>509.01</v>
      </c>
      <c r="K665">
        <v>509.01</v>
      </c>
    </row>
    <row r="666" spans="1:13" x14ac:dyDescent="0.3">
      <c r="A666">
        <v>514.98</v>
      </c>
      <c r="B666">
        <v>514.98</v>
      </c>
      <c r="C666">
        <v>514.98</v>
      </c>
      <c r="D666">
        <v>514.98</v>
      </c>
      <c r="E666">
        <v>514.98</v>
      </c>
      <c r="F666">
        <v>514.98</v>
      </c>
      <c r="G666">
        <v>514.98</v>
      </c>
      <c r="H666">
        <v>514.98</v>
      </c>
      <c r="I666">
        <v>514.98</v>
      </c>
      <c r="J666">
        <v>514.98</v>
      </c>
      <c r="K666">
        <v>514.98</v>
      </c>
    </row>
    <row r="667" spans="1:13" x14ac:dyDescent="0.3">
      <c r="A667">
        <v>100</v>
      </c>
      <c r="B667">
        <v>100</v>
      </c>
      <c r="C667">
        <v>100</v>
      </c>
      <c r="D667">
        <v>100</v>
      </c>
      <c r="E667">
        <v>100</v>
      </c>
      <c r="F667">
        <v>100</v>
      </c>
      <c r="G667">
        <v>100</v>
      </c>
      <c r="H667">
        <v>100</v>
      </c>
      <c r="I667">
        <v>100</v>
      </c>
      <c r="J667">
        <v>100</v>
      </c>
      <c r="K667">
        <v>100</v>
      </c>
    </row>
    <row r="668" spans="1:13" x14ac:dyDescent="0.3">
      <c r="A668" t="s">
        <v>49</v>
      </c>
      <c r="B668" t="s">
        <v>49</v>
      </c>
      <c r="C668" t="s">
        <v>49</v>
      </c>
      <c r="D668" t="s">
        <v>49</v>
      </c>
      <c r="E668" t="s">
        <v>49</v>
      </c>
      <c r="F668" t="s">
        <v>49</v>
      </c>
      <c r="G668" t="s">
        <v>49</v>
      </c>
      <c r="H668" t="s">
        <v>49</v>
      </c>
      <c r="I668" t="s">
        <v>49</v>
      </c>
      <c r="J668" t="s">
        <v>49</v>
      </c>
      <c r="K668" t="s">
        <v>49</v>
      </c>
    </row>
    <row r="669" spans="1:13" x14ac:dyDescent="0.3">
      <c r="A669">
        <v>1232134</v>
      </c>
      <c r="B669">
        <v>1232134</v>
      </c>
      <c r="C669">
        <v>1232134</v>
      </c>
      <c r="D669">
        <v>1232134</v>
      </c>
      <c r="E669">
        <v>1232134</v>
      </c>
      <c r="F669">
        <v>1232134</v>
      </c>
      <c r="G669">
        <v>1232134</v>
      </c>
      <c r="H669">
        <v>1232134</v>
      </c>
      <c r="I669">
        <v>1232134</v>
      </c>
      <c r="J669">
        <v>1232134</v>
      </c>
      <c r="K669">
        <v>1232134</v>
      </c>
    </row>
    <row r="670" spans="1:13" x14ac:dyDescent="0.3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</row>
    <row r="671" spans="1:13" x14ac:dyDescent="0.3">
      <c r="A671" t="s">
        <v>19</v>
      </c>
      <c r="B671" t="s">
        <v>19</v>
      </c>
      <c r="C671" t="s">
        <v>19</v>
      </c>
      <c r="D671" t="s">
        <v>19</v>
      </c>
      <c r="E671" t="s">
        <v>19</v>
      </c>
      <c r="F671" t="s">
        <v>19</v>
      </c>
      <c r="G671" t="s">
        <v>19</v>
      </c>
      <c r="H671" t="s">
        <v>19</v>
      </c>
      <c r="I671" t="s">
        <v>19</v>
      </c>
      <c r="J671" t="s">
        <v>19</v>
      </c>
      <c r="K671" t="s">
        <v>19</v>
      </c>
    </row>
    <row r="672" spans="1:13" x14ac:dyDescent="0.3">
      <c r="A672" t="s">
        <v>20</v>
      </c>
      <c r="B672" t="s">
        <v>20</v>
      </c>
      <c r="C672" t="s">
        <v>20</v>
      </c>
      <c r="D672" t="s">
        <v>20</v>
      </c>
      <c r="E672" t="s">
        <v>20</v>
      </c>
      <c r="F672" t="s">
        <v>20</v>
      </c>
      <c r="G672" t="s">
        <v>20</v>
      </c>
      <c r="H672" t="s">
        <v>20</v>
      </c>
      <c r="I672" t="s">
        <v>20</v>
      </c>
      <c r="J672" t="s">
        <v>20</v>
      </c>
      <c r="K672" t="s">
        <v>20</v>
      </c>
    </row>
    <row r="673" spans="1:13" x14ac:dyDescent="0.3">
      <c r="A673" t="s">
        <v>15</v>
      </c>
      <c r="B673" t="s">
        <v>15</v>
      </c>
      <c r="C673" t="s">
        <v>15</v>
      </c>
      <c r="D673" t="s">
        <v>15</v>
      </c>
      <c r="E673" t="s">
        <v>15</v>
      </c>
      <c r="F673" t="s">
        <v>15</v>
      </c>
      <c r="G673" t="s">
        <v>15</v>
      </c>
      <c r="H673" t="s">
        <v>15</v>
      </c>
      <c r="I673" t="s">
        <v>15</v>
      </c>
      <c r="J673" t="s">
        <v>15</v>
      </c>
      <c r="K673" t="s">
        <v>15</v>
      </c>
      <c r="L673" t="s">
        <v>16</v>
      </c>
      <c r="M673" t="s">
        <v>17</v>
      </c>
    </row>
    <row r="674" spans="1:13" x14ac:dyDescent="0.3">
      <c r="A674">
        <v>334.08</v>
      </c>
      <c r="B674">
        <v>334.08</v>
      </c>
      <c r="C674">
        <v>334.08</v>
      </c>
      <c r="D674">
        <v>334.08</v>
      </c>
      <c r="E674">
        <v>334.08</v>
      </c>
      <c r="F674">
        <v>334.08</v>
      </c>
      <c r="G674">
        <v>334.08</v>
      </c>
      <c r="H674">
        <v>334.08</v>
      </c>
      <c r="I674">
        <v>334.08</v>
      </c>
      <c r="J674">
        <v>334.08</v>
      </c>
      <c r="K674">
        <v>334.08</v>
      </c>
    </row>
    <row r="675" spans="1:13" x14ac:dyDescent="0.3">
      <c r="A675">
        <v>-1.33</v>
      </c>
      <c r="B675">
        <v>-1.33</v>
      </c>
      <c r="C675">
        <v>-1.33</v>
      </c>
      <c r="D675">
        <v>-1.33</v>
      </c>
      <c r="E675">
        <v>-1.33</v>
      </c>
      <c r="F675">
        <v>-1.33</v>
      </c>
      <c r="G675">
        <v>-1.33</v>
      </c>
      <c r="H675">
        <v>-1.33</v>
      </c>
      <c r="I675">
        <v>-1.33</v>
      </c>
      <c r="J675">
        <v>-1.33</v>
      </c>
      <c r="K675">
        <v>-1.33</v>
      </c>
    </row>
    <row r="676" spans="1:13" x14ac:dyDescent="0.3">
      <c r="A676">
        <v>100</v>
      </c>
      <c r="B676">
        <v>100</v>
      </c>
      <c r="C676">
        <v>100</v>
      </c>
      <c r="D676">
        <v>100</v>
      </c>
      <c r="E676">
        <v>100</v>
      </c>
      <c r="F676">
        <v>100</v>
      </c>
      <c r="G676">
        <v>100</v>
      </c>
      <c r="H676">
        <v>100</v>
      </c>
      <c r="I676">
        <v>100</v>
      </c>
      <c r="J676">
        <v>100</v>
      </c>
      <c r="K676">
        <v>100</v>
      </c>
    </row>
    <row r="677" spans="1:13" x14ac:dyDescent="0.3">
      <c r="A677">
        <v>334</v>
      </c>
      <c r="B677">
        <v>334</v>
      </c>
      <c r="C677">
        <v>334</v>
      </c>
      <c r="D677">
        <v>334</v>
      </c>
      <c r="E677">
        <v>334</v>
      </c>
      <c r="F677">
        <v>334</v>
      </c>
      <c r="G677">
        <v>334</v>
      </c>
      <c r="H677">
        <v>334</v>
      </c>
      <c r="I677">
        <v>334</v>
      </c>
      <c r="J677">
        <v>334</v>
      </c>
      <c r="K677">
        <v>334</v>
      </c>
    </row>
    <row r="678" spans="1:13" x14ac:dyDescent="0.3">
      <c r="A678">
        <v>334.46</v>
      </c>
      <c r="B678">
        <v>334.46</v>
      </c>
      <c r="C678">
        <v>334.46</v>
      </c>
      <c r="D678">
        <v>334.46</v>
      </c>
      <c r="E678">
        <v>334.46</v>
      </c>
      <c r="F678">
        <v>334.46</v>
      </c>
      <c r="G678">
        <v>334.46</v>
      </c>
      <c r="H678">
        <v>334.46</v>
      </c>
      <c r="I678">
        <v>334.46</v>
      </c>
      <c r="J678">
        <v>334.46</v>
      </c>
      <c r="K678">
        <v>334.46</v>
      </c>
    </row>
    <row r="679" spans="1:13" x14ac:dyDescent="0.3">
      <c r="A679">
        <v>200</v>
      </c>
      <c r="B679">
        <v>200</v>
      </c>
      <c r="C679">
        <v>200</v>
      </c>
      <c r="D679">
        <v>200</v>
      </c>
      <c r="E679">
        <v>200</v>
      </c>
      <c r="F679">
        <v>200</v>
      </c>
      <c r="G679">
        <v>200</v>
      </c>
      <c r="H679">
        <v>200</v>
      </c>
      <c r="I679">
        <v>200</v>
      </c>
      <c r="J679">
        <v>200</v>
      </c>
      <c r="K679">
        <v>200</v>
      </c>
    </row>
    <row r="680" spans="1:13" x14ac:dyDescent="0.3">
      <c r="A680" t="s">
        <v>18</v>
      </c>
      <c r="B680" t="s">
        <v>18</v>
      </c>
      <c r="C680" t="s">
        <v>18</v>
      </c>
      <c r="D680" t="s">
        <v>18</v>
      </c>
      <c r="E680" t="s">
        <v>18</v>
      </c>
      <c r="F680" t="s">
        <v>18</v>
      </c>
      <c r="G680" t="s">
        <v>18</v>
      </c>
      <c r="H680" t="s">
        <v>18</v>
      </c>
      <c r="I680" t="s">
        <v>18</v>
      </c>
      <c r="J680" t="s">
        <v>18</v>
      </c>
      <c r="K680" t="s">
        <v>18</v>
      </c>
    </row>
    <row r="681" spans="1:13" x14ac:dyDescent="0.3">
      <c r="A681">
        <v>1222206</v>
      </c>
      <c r="B681">
        <v>1222206</v>
      </c>
      <c r="C681">
        <v>1222206</v>
      </c>
      <c r="D681">
        <v>1222206</v>
      </c>
      <c r="E681">
        <v>1222206</v>
      </c>
      <c r="F681">
        <v>1222206</v>
      </c>
      <c r="G681">
        <v>1222206</v>
      </c>
      <c r="H681">
        <v>1222206</v>
      </c>
      <c r="I681">
        <v>1222206</v>
      </c>
      <c r="J681">
        <v>1222206</v>
      </c>
      <c r="K681">
        <v>1222206</v>
      </c>
    </row>
    <row r="682" spans="1:13" x14ac:dyDescent="0.3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</row>
    <row r="683" spans="1:13" x14ac:dyDescent="0.3">
      <c r="A683" t="s">
        <v>19</v>
      </c>
      <c r="B683" t="s">
        <v>19</v>
      </c>
      <c r="C683" t="s">
        <v>19</v>
      </c>
      <c r="D683" t="s">
        <v>19</v>
      </c>
      <c r="E683" t="s">
        <v>19</v>
      </c>
      <c r="F683" t="s">
        <v>19</v>
      </c>
      <c r="G683" t="s">
        <v>19</v>
      </c>
      <c r="H683" t="s">
        <v>19</v>
      </c>
      <c r="I683" t="s">
        <v>19</v>
      </c>
      <c r="J683" t="s">
        <v>19</v>
      </c>
      <c r="K683" t="s">
        <v>19</v>
      </c>
    </row>
    <row r="684" spans="1:13" x14ac:dyDescent="0.3">
      <c r="A684" t="s">
        <v>28</v>
      </c>
      <c r="B684" t="s">
        <v>28</v>
      </c>
      <c r="C684" t="s">
        <v>28</v>
      </c>
      <c r="D684" t="s">
        <v>28</v>
      </c>
      <c r="E684" t="s">
        <v>28</v>
      </c>
      <c r="F684" t="s">
        <v>28</v>
      </c>
      <c r="G684" t="s">
        <v>28</v>
      </c>
      <c r="H684" t="s">
        <v>28</v>
      </c>
      <c r="I684" t="s">
        <v>28</v>
      </c>
      <c r="J684" t="s">
        <v>28</v>
      </c>
      <c r="K684" t="s">
        <v>28</v>
      </c>
    </row>
    <row r="685" spans="1:13" x14ac:dyDescent="0.3">
      <c r="A685" t="s">
        <v>15</v>
      </c>
      <c r="B685" t="s">
        <v>15</v>
      </c>
      <c r="C685" t="s">
        <v>15</v>
      </c>
      <c r="D685" t="s">
        <v>15</v>
      </c>
      <c r="E685" t="s">
        <v>15</v>
      </c>
      <c r="F685" t="s">
        <v>15</v>
      </c>
      <c r="G685" t="s">
        <v>15</v>
      </c>
      <c r="H685" t="s">
        <v>15</v>
      </c>
      <c r="I685" t="s">
        <v>15</v>
      </c>
      <c r="J685" t="s">
        <v>15</v>
      </c>
      <c r="K685" t="s">
        <v>15</v>
      </c>
      <c r="L685" t="s">
        <v>16</v>
      </c>
      <c r="M685" t="s">
        <v>17</v>
      </c>
    </row>
    <row r="686" spans="1:13" x14ac:dyDescent="0.3">
      <c r="A686">
        <v>129.47999999999999</v>
      </c>
      <c r="B686">
        <v>129.47999999999999</v>
      </c>
      <c r="C686">
        <v>129.47999999999999</v>
      </c>
      <c r="D686">
        <v>129.47999999999999</v>
      </c>
      <c r="E686">
        <v>129.47999999999999</v>
      </c>
      <c r="F686">
        <v>129.47999999999999</v>
      </c>
      <c r="G686">
        <v>129.47999999999999</v>
      </c>
      <c r="H686">
        <v>129.47999999999999</v>
      </c>
      <c r="I686">
        <v>129.47999999999999</v>
      </c>
      <c r="J686">
        <v>129.47999999999999</v>
      </c>
      <c r="K686">
        <v>129.47999999999999</v>
      </c>
    </row>
    <row r="687" spans="1:13" x14ac:dyDescent="0.3">
      <c r="A687">
        <v>3.21</v>
      </c>
      <c r="B687">
        <v>3.21</v>
      </c>
      <c r="C687">
        <v>3.21</v>
      </c>
      <c r="D687">
        <v>3.21</v>
      </c>
      <c r="E687">
        <v>3.21</v>
      </c>
      <c r="F687">
        <v>3.21</v>
      </c>
      <c r="G687">
        <v>3.21</v>
      </c>
      <c r="H687">
        <v>3.21</v>
      </c>
      <c r="I687">
        <v>3.21</v>
      </c>
      <c r="J687">
        <v>3.21</v>
      </c>
      <c r="K687">
        <v>3.21</v>
      </c>
    </row>
    <row r="688" spans="1:13" x14ac:dyDescent="0.3">
      <c r="A688">
        <v>200</v>
      </c>
      <c r="B688">
        <v>200</v>
      </c>
      <c r="C688">
        <v>200</v>
      </c>
      <c r="D688">
        <v>200</v>
      </c>
      <c r="E688">
        <v>200</v>
      </c>
      <c r="F688">
        <v>200</v>
      </c>
      <c r="G688">
        <v>200</v>
      </c>
      <c r="H688">
        <v>200</v>
      </c>
      <c r="I688">
        <v>200</v>
      </c>
      <c r="J688">
        <v>200</v>
      </c>
      <c r="K688">
        <v>200</v>
      </c>
    </row>
    <row r="689" spans="1:13" x14ac:dyDescent="0.3">
      <c r="A689">
        <v>129.47999999999999</v>
      </c>
      <c r="B689">
        <v>129.47999999999999</v>
      </c>
      <c r="C689">
        <v>129.47999999999999</v>
      </c>
      <c r="D689">
        <v>129.47999999999999</v>
      </c>
      <c r="E689">
        <v>129.47999999999999</v>
      </c>
      <c r="F689">
        <v>129.47999999999999</v>
      </c>
      <c r="G689">
        <v>129.47999999999999</v>
      </c>
      <c r="H689">
        <v>129.47999999999999</v>
      </c>
      <c r="I689">
        <v>129.47999999999999</v>
      </c>
      <c r="J689">
        <v>129.47999999999999</v>
      </c>
      <c r="K689">
        <v>129.47999999999999</v>
      </c>
    </row>
    <row r="690" spans="1:13" x14ac:dyDescent="0.3">
      <c r="A690">
        <v>129.5</v>
      </c>
      <c r="B690">
        <v>129.5</v>
      </c>
      <c r="C690">
        <v>129.5</v>
      </c>
      <c r="D690">
        <v>129.5</v>
      </c>
      <c r="E690">
        <v>129.5</v>
      </c>
      <c r="F690">
        <v>129.5</v>
      </c>
      <c r="G690">
        <v>129.5</v>
      </c>
      <c r="H690">
        <v>129.5</v>
      </c>
      <c r="I690">
        <v>129.5</v>
      </c>
      <c r="J690">
        <v>129.5</v>
      </c>
      <c r="K690">
        <v>129.5</v>
      </c>
    </row>
    <row r="691" spans="1:13" x14ac:dyDescent="0.3">
      <c r="A691">
        <v>100</v>
      </c>
      <c r="B691">
        <v>100</v>
      </c>
      <c r="C691">
        <v>100</v>
      </c>
      <c r="D691">
        <v>100</v>
      </c>
      <c r="E691">
        <v>100</v>
      </c>
      <c r="F691">
        <v>100</v>
      </c>
      <c r="G691">
        <v>100</v>
      </c>
      <c r="H691">
        <v>100</v>
      </c>
      <c r="I691">
        <v>100</v>
      </c>
      <c r="J691">
        <v>100</v>
      </c>
      <c r="K691">
        <v>100</v>
      </c>
    </row>
    <row r="692" spans="1:13" x14ac:dyDescent="0.3">
      <c r="A692" t="s">
        <v>31</v>
      </c>
      <c r="B692" t="s">
        <v>31</v>
      </c>
      <c r="C692" t="s">
        <v>31</v>
      </c>
      <c r="D692" t="s">
        <v>31</v>
      </c>
      <c r="E692" t="s">
        <v>31</v>
      </c>
      <c r="F692" t="s">
        <v>31</v>
      </c>
      <c r="G692" t="s">
        <v>31</v>
      </c>
      <c r="H692" t="s">
        <v>31</v>
      </c>
      <c r="I692" t="s">
        <v>31</v>
      </c>
      <c r="J692" t="s">
        <v>31</v>
      </c>
      <c r="K692" t="s">
        <v>31</v>
      </c>
    </row>
    <row r="693" spans="1:13" x14ac:dyDescent="0.3">
      <c r="A693">
        <v>2653786</v>
      </c>
      <c r="B693">
        <v>2653786</v>
      </c>
      <c r="C693">
        <v>2653786</v>
      </c>
      <c r="D693">
        <v>2653786</v>
      </c>
      <c r="E693">
        <v>2653786</v>
      </c>
      <c r="F693">
        <v>2653786</v>
      </c>
      <c r="G693">
        <v>2653786</v>
      </c>
      <c r="H693">
        <v>2653786</v>
      </c>
      <c r="I693">
        <v>2653786</v>
      </c>
      <c r="J693">
        <v>2653786</v>
      </c>
      <c r="K693">
        <v>2653786</v>
      </c>
    </row>
    <row r="694" spans="1:13" x14ac:dyDescent="0.3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</row>
    <row r="695" spans="1:13" x14ac:dyDescent="0.3">
      <c r="A695" t="s">
        <v>19</v>
      </c>
      <c r="B695" t="s">
        <v>19</v>
      </c>
      <c r="C695" t="s">
        <v>19</v>
      </c>
      <c r="D695" t="s">
        <v>19</v>
      </c>
      <c r="E695" t="s">
        <v>19</v>
      </c>
      <c r="F695" t="s">
        <v>19</v>
      </c>
      <c r="G695" t="s">
        <v>19</v>
      </c>
      <c r="H695" t="s">
        <v>19</v>
      </c>
      <c r="I695" t="s">
        <v>19</v>
      </c>
      <c r="J695" t="s">
        <v>19</v>
      </c>
      <c r="K695" t="s">
        <v>19</v>
      </c>
    </row>
    <row r="696" spans="1:13" x14ac:dyDescent="0.3">
      <c r="A696" t="s">
        <v>20</v>
      </c>
      <c r="B696" t="s">
        <v>20</v>
      </c>
      <c r="C696" t="s">
        <v>20</v>
      </c>
      <c r="D696" t="s">
        <v>20</v>
      </c>
      <c r="E696" t="s">
        <v>20</v>
      </c>
      <c r="F696" t="s">
        <v>20</v>
      </c>
      <c r="G696" t="s">
        <v>20</v>
      </c>
      <c r="H696" t="s">
        <v>20</v>
      </c>
      <c r="I696" t="s">
        <v>20</v>
      </c>
      <c r="J696" t="s">
        <v>20</v>
      </c>
      <c r="K696" t="s">
        <v>20</v>
      </c>
    </row>
    <row r="697" spans="1:13" x14ac:dyDescent="0.3">
      <c r="A697" t="s">
        <v>15</v>
      </c>
      <c r="B697" t="s">
        <v>15</v>
      </c>
      <c r="C697" t="s">
        <v>15</v>
      </c>
      <c r="D697" t="s">
        <v>15</v>
      </c>
      <c r="E697" t="s">
        <v>15</v>
      </c>
      <c r="F697" t="s">
        <v>15</v>
      </c>
      <c r="G697" t="s">
        <v>15</v>
      </c>
      <c r="H697" t="s">
        <v>15</v>
      </c>
      <c r="I697" t="s">
        <v>15</v>
      </c>
      <c r="J697" t="s">
        <v>15</v>
      </c>
      <c r="K697" t="s">
        <v>15</v>
      </c>
      <c r="L697" t="s">
        <v>16</v>
      </c>
      <c r="M697" t="s">
        <v>17</v>
      </c>
    </row>
    <row r="698" spans="1:13" x14ac:dyDescent="0.3">
      <c r="A698">
        <v>50.05</v>
      </c>
      <c r="B698">
        <v>50.05</v>
      </c>
      <c r="C698">
        <v>50.05</v>
      </c>
      <c r="D698">
        <v>50.05</v>
      </c>
      <c r="E698">
        <v>50.05</v>
      </c>
      <c r="F698">
        <v>50.05</v>
      </c>
      <c r="G698">
        <v>50.05</v>
      </c>
      <c r="H698">
        <v>50.05</v>
      </c>
      <c r="I698">
        <v>50.05</v>
      </c>
      <c r="J698">
        <v>50.05</v>
      </c>
      <c r="K698">
        <v>50.05</v>
      </c>
    </row>
    <row r="699" spans="1:13" x14ac:dyDescent="0.3">
      <c r="A699">
        <v>-0.5</v>
      </c>
      <c r="B699">
        <v>-0.5</v>
      </c>
      <c r="C699">
        <v>-0.5</v>
      </c>
      <c r="D699">
        <v>-0.5</v>
      </c>
      <c r="E699">
        <v>-0.5</v>
      </c>
      <c r="F699">
        <v>-0.5</v>
      </c>
      <c r="G699">
        <v>-0.5</v>
      </c>
      <c r="H699">
        <v>-0.5</v>
      </c>
      <c r="I699">
        <v>-0.5</v>
      </c>
      <c r="J699">
        <v>-0.5</v>
      </c>
      <c r="K699">
        <v>-0.5</v>
      </c>
    </row>
    <row r="700" spans="1:13" x14ac:dyDescent="0.3">
      <c r="A700">
        <v>100</v>
      </c>
      <c r="B700">
        <v>100</v>
      </c>
      <c r="C700">
        <v>100</v>
      </c>
      <c r="D700">
        <v>100</v>
      </c>
      <c r="E700">
        <v>100</v>
      </c>
      <c r="F700">
        <v>100</v>
      </c>
      <c r="G700">
        <v>100</v>
      </c>
      <c r="H700">
        <v>100</v>
      </c>
      <c r="I700">
        <v>100</v>
      </c>
      <c r="J700">
        <v>100</v>
      </c>
      <c r="K700">
        <v>100</v>
      </c>
    </row>
    <row r="701" spans="1:13" x14ac:dyDescent="0.3">
      <c r="A701">
        <v>50.02</v>
      </c>
      <c r="B701">
        <v>50.02</v>
      </c>
      <c r="C701">
        <v>50.02</v>
      </c>
      <c r="D701">
        <v>50.02</v>
      </c>
      <c r="E701">
        <v>50.02</v>
      </c>
      <c r="F701">
        <v>50.02</v>
      </c>
      <c r="G701">
        <v>50.02</v>
      </c>
      <c r="H701">
        <v>50.02</v>
      </c>
      <c r="I701">
        <v>50.02</v>
      </c>
      <c r="J701">
        <v>50.02</v>
      </c>
      <c r="K701">
        <v>50.02</v>
      </c>
    </row>
    <row r="702" spans="1:13" x14ac:dyDescent="0.3">
      <c r="A702">
        <v>50.15</v>
      </c>
      <c r="B702">
        <v>50.15</v>
      </c>
      <c r="C702">
        <v>50.15</v>
      </c>
      <c r="D702">
        <v>50.15</v>
      </c>
      <c r="E702">
        <v>50.15</v>
      </c>
      <c r="F702">
        <v>50.15</v>
      </c>
      <c r="G702">
        <v>50.15</v>
      </c>
      <c r="H702">
        <v>50.15</v>
      </c>
      <c r="I702">
        <v>50.15</v>
      </c>
      <c r="J702">
        <v>50.15</v>
      </c>
      <c r="K702">
        <v>50.15</v>
      </c>
    </row>
    <row r="703" spans="1:13" x14ac:dyDescent="0.3">
      <c r="A703">
        <v>100</v>
      </c>
      <c r="B703">
        <v>100</v>
      </c>
      <c r="C703">
        <v>100</v>
      </c>
      <c r="D703">
        <v>100</v>
      </c>
      <c r="E703">
        <v>100</v>
      </c>
      <c r="F703">
        <v>100</v>
      </c>
      <c r="G703">
        <v>100</v>
      </c>
      <c r="H703">
        <v>100</v>
      </c>
      <c r="I703">
        <v>100</v>
      </c>
      <c r="J703">
        <v>100</v>
      </c>
      <c r="K703">
        <v>100</v>
      </c>
    </row>
    <row r="704" spans="1:13" x14ac:dyDescent="0.3">
      <c r="A704" t="s">
        <v>35</v>
      </c>
      <c r="B704" t="s">
        <v>35</v>
      </c>
      <c r="C704" t="s">
        <v>35</v>
      </c>
      <c r="D704" t="s">
        <v>35</v>
      </c>
      <c r="E704" t="s">
        <v>35</v>
      </c>
      <c r="F704" t="s">
        <v>35</v>
      </c>
      <c r="G704" t="s">
        <v>35</v>
      </c>
      <c r="H704" t="s">
        <v>35</v>
      </c>
      <c r="I704" t="s">
        <v>35</v>
      </c>
      <c r="J704" t="s">
        <v>35</v>
      </c>
      <c r="K704" t="s">
        <v>35</v>
      </c>
    </row>
    <row r="705" spans="1:13" x14ac:dyDescent="0.3">
      <c r="A705">
        <v>9290608</v>
      </c>
      <c r="B705">
        <v>9290608</v>
      </c>
      <c r="C705">
        <v>9290608</v>
      </c>
      <c r="D705">
        <v>9290608</v>
      </c>
      <c r="E705">
        <v>9290608</v>
      </c>
      <c r="F705">
        <v>9290608</v>
      </c>
      <c r="G705">
        <v>9290608</v>
      </c>
      <c r="H705">
        <v>9290608</v>
      </c>
      <c r="I705">
        <v>9290608</v>
      </c>
      <c r="J705">
        <v>9290608</v>
      </c>
      <c r="K705">
        <v>9290608</v>
      </c>
    </row>
    <row r="706" spans="1:13" x14ac:dyDescent="0.3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</row>
    <row r="707" spans="1:13" x14ac:dyDescent="0.3">
      <c r="A707" t="s">
        <v>19</v>
      </c>
      <c r="B707" t="s">
        <v>19</v>
      </c>
      <c r="C707" t="s">
        <v>19</v>
      </c>
      <c r="D707" t="s">
        <v>19</v>
      </c>
      <c r="E707" t="s">
        <v>19</v>
      </c>
      <c r="F707" t="s">
        <v>19</v>
      </c>
      <c r="G707" t="s">
        <v>19</v>
      </c>
      <c r="H707" t="s">
        <v>19</v>
      </c>
      <c r="I707" t="s">
        <v>19</v>
      </c>
      <c r="J707" t="s">
        <v>19</v>
      </c>
      <c r="K707" t="s">
        <v>19</v>
      </c>
    </row>
    <row r="708" spans="1:13" x14ac:dyDescent="0.3">
      <c r="A708" t="s">
        <v>20</v>
      </c>
      <c r="B708" t="s">
        <v>20</v>
      </c>
      <c r="C708" t="s">
        <v>20</v>
      </c>
      <c r="D708" t="s">
        <v>20</v>
      </c>
      <c r="E708" t="s">
        <v>20</v>
      </c>
      <c r="F708" t="s">
        <v>20</v>
      </c>
      <c r="G708" t="s">
        <v>20</v>
      </c>
      <c r="H708" t="s">
        <v>20</v>
      </c>
      <c r="I708" t="s">
        <v>20</v>
      </c>
      <c r="J708" t="s">
        <v>20</v>
      </c>
      <c r="K708" t="s">
        <v>20</v>
      </c>
    </row>
    <row r="709" spans="1:13" x14ac:dyDescent="0.3">
      <c r="A709" t="s">
        <v>15</v>
      </c>
      <c r="B709" t="s">
        <v>15</v>
      </c>
      <c r="C709" t="s">
        <v>15</v>
      </c>
      <c r="D709" t="s">
        <v>15</v>
      </c>
      <c r="E709" t="s">
        <v>15</v>
      </c>
      <c r="F709" t="s">
        <v>15</v>
      </c>
      <c r="G709" t="s">
        <v>15</v>
      </c>
      <c r="H709" t="s">
        <v>15</v>
      </c>
      <c r="I709" t="s">
        <v>15</v>
      </c>
      <c r="J709" t="s">
        <v>15</v>
      </c>
      <c r="K709" t="s">
        <v>15</v>
      </c>
      <c r="L709" t="s">
        <v>16</v>
      </c>
      <c r="M709" t="s">
        <v>17</v>
      </c>
    </row>
    <row r="710" spans="1:13" x14ac:dyDescent="0.3">
      <c r="A710">
        <v>159.82</v>
      </c>
      <c r="B710">
        <v>159.82</v>
      </c>
      <c r="C710">
        <v>159.82</v>
      </c>
      <c r="D710">
        <v>159.82</v>
      </c>
      <c r="E710">
        <v>159.82</v>
      </c>
      <c r="F710">
        <v>159.82</v>
      </c>
      <c r="G710">
        <v>159.82</v>
      </c>
      <c r="H710">
        <v>159.82</v>
      </c>
      <c r="I710">
        <v>159.82</v>
      </c>
      <c r="J710">
        <v>159.82</v>
      </c>
      <c r="K710">
        <v>159.82</v>
      </c>
    </row>
    <row r="711" spans="1:13" x14ac:dyDescent="0.3">
      <c r="A711">
        <v>6.1</v>
      </c>
      <c r="B711">
        <v>6.1</v>
      </c>
      <c r="C711">
        <v>6.1</v>
      </c>
      <c r="D711">
        <v>6.1</v>
      </c>
      <c r="E711">
        <v>6.1</v>
      </c>
      <c r="F711">
        <v>6.1</v>
      </c>
      <c r="G711">
        <v>6.1</v>
      </c>
      <c r="H711">
        <v>6.1</v>
      </c>
      <c r="I711">
        <v>6.1</v>
      </c>
      <c r="J711">
        <v>6.1</v>
      </c>
      <c r="K711">
        <v>6.1</v>
      </c>
    </row>
    <row r="712" spans="1:13" x14ac:dyDescent="0.3">
      <c r="A712">
        <v>500</v>
      </c>
      <c r="B712">
        <v>500</v>
      </c>
      <c r="C712">
        <v>500</v>
      </c>
      <c r="D712">
        <v>500</v>
      </c>
      <c r="E712">
        <v>500</v>
      </c>
      <c r="F712">
        <v>500</v>
      </c>
      <c r="G712">
        <v>500</v>
      </c>
      <c r="H712">
        <v>500</v>
      </c>
      <c r="I712">
        <v>500</v>
      </c>
      <c r="J712">
        <v>500</v>
      </c>
      <c r="K712">
        <v>500</v>
      </c>
    </row>
    <row r="713" spans="1:13" x14ac:dyDescent="0.3">
      <c r="A713">
        <v>159.47</v>
      </c>
      <c r="B713">
        <v>159.47</v>
      </c>
      <c r="C713">
        <v>159.47</v>
      </c>
      <c r="D713">
        <v>159.47</v>
      </c>
      <c r="E713">
        <v>159.47</v>
      </c>
      <c r="F713">
        <v>159.47</v>
      </c>
      <c r="G713">
        <v>159.47</v>
      </c>
      <c r="H713">
        <v>159.47</v>
      </c>
      <c r="I713">
        <v>159.47</v>
      </c>
      <c r="J713">
        <v>159.47</v>
      </c>
      <c r="K713">
        <v>159.47</v>
      </c>
    </row>
    <row r="714" spans="1:13" x14ac:dyDescent="0.3">
      <c r="A714">
        <v>159.80000000000001</v>
      </c>
      <c r="B714">
        <v>159.80000000000001</v>
      </c>
      <c r="C714">
        <v>159.80000000000001</v>
      </c>
      <c r="D714">
        <v>159.80000000000001</v>
      </c>
      <c r="E714">
        <v>159.80000000000001</v>
      </c>
      <c r="F714">
        <v>159.80000000000001</v>
      </c>
      <c r="G714">
        <v>159.80000000000001</v>
      </c>
      <c r="H714">
        <v>159.80000000000001</v>
      </c>
      <c r="I714">
        <v>159.80000000000001</v>
      </c>
      <c r="J714">
        <v>159.80000000000001</v>
      </c>
      <c r="K714">
        <v>159.80000000000001</v>
      </c>
    </row>
    <row r="715" spans="1:13" x14ac:dyDescent="0.3">
      <c r="A715">
        <v>200</v>
      </c>
      <c r="B715">
        <v>200</v>
      </c>
      <c r="C715">
        <v>200</v>
      </c>
      <c r="D715">
        <v>200</v>
      </c>
      <c r="E715">
        <v>200</v>
      </c>
      <c r="F715">
        <v>200</v>
      </c>
      <c r="G715">
        <v>200</v>
      </c>
      <c r="H715">
        <v>200</v>
      </c>
      <c r="I715">
        <v>200</v>
      </c>
      <c r="J715">
        <v>200</v>
      </c>
      <c r="K715">
        <v>200</v>
      </c>
    </row>
    <row r="716" spans="1:13" x14ac:dyDescent="0.3">
      <c r="A716" t="s">
        <v>26</v>
      </c>
      <c r="B716" t="s">
        <v>26</v>
      </c>
      <c r="C716" t="s">
        <v>26</v>
      </c>
      <c r="D716" t="s">
        <v>26</v>
      </c>
      <c r="E716" t="s">
        <v>26</v>
      </c>
      <c r="F716" t="s">
        <v>26</v>
      </c>
      <c r="G716" t="s">
        <v>26</v>
      </c>
      <c r="H716" t="s">
        <v>26</v>
      </c>
      <c r="I716" t="s">
        <v>26</v>
      </c>
      <c r="J716" t="s">
        <v>26</v>
      </c>
      <c r="K716" t="s">
        <v>26</v>
      </c>
    </row>
    <row r="717" spans="1:13" x14ac:dyDescent="0.3">
      <c r="A717">
        <v>3522876</v>
      </c>
      <c r="B717">
        <v>3522876</v>
      </c>
      <c r="C717">
        <v>3522876</v>
      </c>
      <c r="D717">
        <v>3522876</v>
      </c>
      <c r="E717">
        <v>3522876</v>
      </c>
      <c r="F717">
        <v>3522876</v>
      </c>
      <c r="G717">
        <v>3522876</v>
      </c>
      <c r="H717">
        <v>3522876</v>
      </c>
      <c r="I717">
        <v>3522876</v>
      </c>
      <c r="J717">
        <v>3522876</v>
      </c>
      <c r="K717">
        <v>3522876</v>
      </c>
    </row>
    <row r="718" spans="1:13" x14ac:dyDescent="0.3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</row>
    <row r="719" spans="1:13" x14ac:dyDescent="0.3">
      <c r="A719" t="s">
        <v>19</v>
      </c>
      <c r="B719" t="s">
        <v>19</v>
      </c>
      <c r="C719" t="s">
        <v>19</v>
      </c>
      <c r="D719" t="s">
        <v>19</v>
      </c>
      <c r="E719" t="s">
        <v>19</v>
      </c>
      <c r="F719" t="s">
        <v>19</v>
      </c>
      <c r="G719" t="s">
        <v>19</v>
      </c>
      <c r="H719" t="s">
        <v>19</v>
      </c>
      <c r="I719" t="s">
        <v>19</v>
      </c>
      <c r="J719" t="s">
        <v>19</v>
      </c>
      <c r="K719" t="s">
        <v>19</v>
      </c>
    </row>
    <row r="720" spans="1:13" x14ac:dyDescent="0.3">
      <c r="A720" t="s">
        <v>20</v>
      </c>
      <c r="B720" t="s">
        <v>20</v>
      </c>
      <c r="C720" t="s">
        <v>20</v>
      </c>
      <c r="D720" t="s">
        <v>20</v>
      </c>
      <c r="E720" t="s">
        <v>20</v>
      </c>
      <c r="F720" t="s">
        <v>20</v>
      </c>
      <c r="G720" t="s">
        <v>20</v>
      </c>
      <c r="H720" t="s">
        <v>20</v>
      </c>
      <c r="I720" t="s">
        <v>20</v>
      </c>
      <c r="J720" t="s">
        <v>20</v>
      </c>
      <c r="K720" t="s">
        <v>20</v>
      </c>
    </row>
    <row r="721" spans="1:13" x14ac:dyDescent="0.3">
      <c r="A721" t="s">
        <v>15</v>
      </c>
      <c r="B721" t="s">
        <v>15</v>
      </c>
      <c r="C721" t="s">
        <v>15</v>
      </c>
      <c r="D721" t="s">
        <v>15</v>
      </c>
      <c r="E721" t="s">
        <v>15</v>
      </c>
      <c r="F721" t="s">
        <v>15</v>
      </c>
      <c r="G721" t="s">
        <v>15</v>
      </c>
      <c r="H721" t="s">
        <v>15</v>
      </c>
      <c r="I721" t="s">
        <v>15</v>
      </c>
      <c r="J721" t="s">
        <v>15</v>
      </c>
      <c r="K721" t="s">
        <v>15</v>
      </c>
      <c r="L721" t="s">
        <v>16</v>
      </c>
      <c r="M721" t="s">
        <v>17</v>
      </c>
    </row>
    <row r="722" spans="1:13" x14ac:dyDescent="0.3">
      <c r="A722">
        <v>89.2</v>
      </c>
      <c r="B722">
        <v>89.2</v>
      </c>
      <c r="C722">
        <v>89.2</v>
      </c>
      <c r="D722">
        <v>89.2</v>
      </c>
      <c r="E722">
        <v>89.2</v>
      </c>
      <c r="F722">
        <v>89.2</v>
      </c>
      <c r="G722">
        <v>89.2</v>
      </c>
      <c r="H722">
        <v>89.2</v>
      </c>
      <c r="I722">
        <v>89.2</v>
      </c>
      <c r="J722">
        <v>89.2</v>
      </c>
      <c r="K722">
        <v>89.2</v>
      </c>
    </row>
    <row r="723" spans="1:13" x14ac:dyDescent="0.3">
      <c r="A723">
        <v>-0.32</v>
      </c>
      <c r="B723">
        <v>-0.32</v>
      </c>
      <c r="C723">
        <v>-0.32</v>
      </c>
      <c r="D723">
        <v>-0.32</v>
      </c>
      <c r="E723">
        <v>-0.32</v>
      </c>
      <c r="F723">
        <v>-0.32</v>
      </c>
      <c r="G723">
        <v>-0.32</v>
      </c>
      <c r="H723">
        <v>-0.32</v>
      </c>
      <c r="I723">
        <v>-0.32</v>
      </c>
      <c r="J723">
        <v>-0.32</v>
      </c>
      <c r="K723">
        <v>-0.32</v>
      </c>
    </row>
    <row r="724" spans="1:13" x14ac:dyDescent="0.3">
      <c r="A724">
        <v>100</v>
      </c>
      <c r="B724">
        <v>100</v>
      </c>
      <c r="C724">
        <v>100</v>
      </c>
      <c r="D724">
        <v>100</v>
      </c>
      <c r="E724">
        <v>100</v>
      </c>
      <c r="F724">
        <v>100</v>
      </c>
      <c r="G724">
        <v>100</v>
      </c>
      <c r="H724">
        <v>100</v>
      </c>
      <c r="I724">
        <v>100</v>
      </c>
      <c r="J724">
        <v>100</v>
      </c>
      <c r="K724">
        <v>100</v>
      </c>
    </row>
    <row r="725" spans="1:13" x14ac:dyDescent="0.3">
      <c r="A725">
        <v>88.82</v>
      </c>
      <c r="B725">
        <v>88.82</v>
      </c>
      <c r="C725">
        <v>88.82</v>
      </c>
      <c r="D725">
        <v>88.82</v>
      </c>
      <c r="E725">
        <v>88.82</v>
      </c>
      <c r="F725">
        <v>88.82</v>
      </c>
      <c r="G725">
        <v>88.82</v>
      </c>
      <c r="H725">
        <v>88.82</v>
      </c>
      <c r="I725">
        <v>88.82</v>
      </c>
      <c r="J725">
        <v>88.82</v>
      </c>
      <c r="K725">
        <v>88.82</v>
      </c>
    </row>
    <row r="726" spans="1:13" x14ac:dyDescent="0.3">
      <c r="A726">
        <v>89.86</v>
      </c>
      <c r="B726">
        <v>89.86</v>
      </c>
      <c r="C726">
        <v>89.86</v>
      </c>
      <c r="D726">
        <v>89.86</v>
      </c>
      <c r="E726">
        <v>89.86</v>
      </c>
      <c r="F726">
        <v>89.86</v>
      </c>
      <c r="G726">
        <v>89.86</v>
      </c>
      <c r="H726">
        <v>89.86</v>
      </c>
      <c r="I726">
        <v>89.86</v>
      </c>
      <c r="J726">
        <v>89.86</v>
      </c>
      <c r="K726">
        <v>89.86</v>
      </c>
    </row>
    <row r="727" spans="1:13" x14ac:dyDescent="0.3">
      <c r="A727">
        <v>100</v>
      </c>
      <c r="B727">
        <v>100</v>
      </c>
      <c r="C727">
        <v>100</v>
      </c>
      <c r="D727">
        <v>100</v>
      </c>
      <c r="E727">
        <v>100</v>
      </c>
      <c r="F727">
        <v>100</v>
      </c>
      <c r="G727">
        <v>100</v>
      </c>
      <c r="H727">
        <v>100</v>
      </c>
      <c r="I727">
        <v>100</v>
      </c>
      <c r="J727">
        <v>100</v>
      </c>
      <c r="K727">
        <v>100</v>
      </c>
    </row>
    <row r="728" spans="1:13" x14ac:dyDescent="0.3">
      <c r="A728" t="s">
        <v>26</v>
      </c>
      <c r="B728" t="s">
        <v>26</v>
      </c>
      <c r="C728" t="s">
        <v>26</v>
      </c>
      <c r="D728" t="s">
        <v>26</v>
      </c>
      <c r="E728" t="s">
        <v>26</v>
      </c>
      <c r="F728" t="s">
        <v>26</v>
      </c>
      <c r="G728" t="s">
        <v>26</v>
      </c>
      <c r="H728" t="s">
        <v>26</v>
      </c>
      <c r="I728" t="s">
        <v>26</v>
      </c>
      <c r="J728" t="s">
        <v>26</v>
      </c>
      <c r="K728" t="s">
        <v>26</v>
      </c>
    </row>
    <row r="729" spans="1:13" x14ac:dyDescent="0.3">
      <c r="A729">
        <v>1572663</v>
      </c>
      <c r="B729">
        <v>1572663</v>
      </c>
      <c r="C729">
        <v>1572663</v>
      </c>
      <c r="D729">
        <v>1572663</v>
      </c>
      <c r="E729">
        <v>1572663</v>
      </c>
      <c r="F729">
        <v>1572663</v>
      </c>
      <c r="G729">
        <v>1572663</v>
      </c>
      <c r="H729">
        <v>1572663</v>
      </c>
      <c r="I729">
        <v>1572663</v>
      </c>
      <c r="J729">
        <v>1572663</v>
      </c>
      <c r="K729">
        <v>1572663</v>
      </c>
    </row>
    <row r="730" spans="1:13" x14ac:dyDescent="0.3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</row>
    <row r="731" spans="1:13" x14ac:dyDescent="0.3">
      <c r="A731" t="s">
        <v>19</v>
      </c>
      <c r="B731" t="s">
        <v>19</v>
      </c>
      <c r="C731" t="s">
        <v>19</v>
      </c>
      <c r="D731" t="s">
        <v>19</v>
      </c>
      <c r="E731" t="s">
        <v>19</v>
      </c>
      <c r="F731" t="s">
        <v>19</v>
      </c>
      <c r="G731" t="s">
        <v>19</v>
      </c>
      <c r="H731" t="s">
        <v>19</v>
      </c>
      <c r="I731" t="s">
        <v>19</v>
      </c>
      <c r="J731" t="s">
        <v>19</v>
      </c>
      <c r="K731" t="s">
        <v>19</v>
      </c>
    </row>
    <row r="732" spans="1:13" x14ac:dyDescent="0.3">
      <c r="A732" t="s">
        <v>20</v>
      </c>
      <c r="B732" t="s">
        <v>20</v>
      </c>
      <c r="C732" t="s">
        <v>20</v>
      </c>
      <c r="D732" t="s">
        <v>20</v>
      </c>
      <c r="E732" t="s">
        <v>20</v>
      </c>
      <c r="F732" t="s">
        <v>20</v>
      </c>
      <c r="G732" t="s">
        <v>20</v>
      </c>
      <c r="H732" t="s">
        <v>20</v>
      </c>
      <c r="I732" t="s">
        <v>20</v>
      </c>
      <c r="J732" t="s">
        <v>20</v>
      </c>
      <c r="K732" t="s">
        <v>20</v>
      </c>
    </row>
    <row r="733" spans="1:13" x14ac:dyDescent="0.3">
      <c r="A733" t="s">
        <v>15</v>
      </c>
      <c r="B733" t="s">
        <v>15</v>
      </c>
      <c r="C733" t="s">
        <v>15</v>
      </c>
      <c r="D733" t="s">
        <v>15</v>
      </c>
      <c r="E733" t="s">
        <v>15</v>
      </c>
      <c r="F733" t="s">
        <v>15</v>
      </c>
      <c r="G733" t="s">
        <v>15</v>
      </c>
      <c r="H733" t="s">
        <v>15</v>
      </c>
      <c r="I733" t="s">
        <v>15</v>
      </c>
      <c r="J733" t="s">
        <v>15</v>
      </c>
      <c r="K733" t="s">
        <v>15</v>
      </c>
      <c r="L733" t="s">
        <v>16</v>
      </c>
      <c r="M733" t="s">
        <v>17</v>
      </c>
    </row>
    <row r="734" spans="1:13" x14ac:dyDescent="0.3">
      <c r="A734">
        <v>1918.13</v>
      </c>
      <c r="B734">
        <v>1918.13</v>
      </c>
      <c r="C734">
        <v>1918.13</v>
      </c>
      <c r="D734">
        <v>1918.13</v>
      </c>
      <c r="E734">
        <v>1918.13</v>
      </c>
      <c r="F734">
        <v>1918.13</v>
      </c>
      <c r="G734">
        <v>1918.13</v>
      </c>
      <c r="H734">
        <v>1918.13</v>
      </c>
      <c r="I734">
        <v>1918.13</v>
      </c>
      <c r="J734">
        <v>1918.13</v>
      </c>
      <c r="K734">
        <v>1918.13</v>
      </c>
    </row>
    <row r="735" spans="1:13" x14ac:dyDescent="0.3">
      <c r="A735">
        <v>1.31</v>
      </c>
      <c r="B735">
        <v>1.31</v>
      </c>
      <c r="C735">
        <v>1.31</v>
      </c>
      <c r="D735">
        <v>1.31</v>
      </c>
      <c r="E735">
        <v>1.31</v>
      </c>
      <c r="F735">
        <v>1.31</v>
      </c>
      <c r="G735">
        <v>1.31</v>
      </c>
      <c r="H735">
        <v>1.31</v>
      </c>
      <c r="I735">
        <v>1.31</v>
      </c>
      <c r="J735">
        <v>1.31</v>
      </c>
      <c r="K735">
        <v>1.31</v>
      </c>
    </row>
    <row r="736" spans="1:13" x14ac:dyDescent="0.3">
      <c r="A736">
        <v>200</v>
      </c>
      <c r="B736">
        <v>200</v>
      </c>
      <c r="C736">
        <v>200</v>
      </c>
      <c r="D736">
        <v>200</v>
      </c>
      <c r="E736">
        <v>200</v>
      </c>
      <c r="F736">
        <v>200</v>
      </c>
      <c r="G736">
        <v>200</v>
      </c>
      <c r="H736">
        <v>200</v>
      </c>
      <c r="I736">
        <v>200</v>
      </c>
      <c r="J736">
        <v>200</v>
      </c>
      <c r="K736">
        <v>200</v>
      </c>
    </row>
    <row r="737" spans="1:13" x14ac:dyDescent="0.3">
      <c r="A737">
        <v>1912</v>
      </c>
      <c r="B737">
        <v>1912</v>
      </c>
      <c r="C737">
        <v>1912</v>
      </c>
      <c r="D737">
        <v>1912</v>
      </c>
      <c r="E737">
        <v>1912</v>
      </c>
      <c r="F737">
        <v>1912</v>
      </c>
      <c r="G737">
        <v>1912</v>
      </c>
      <c r="H737">
        <v>1912</v>
      </c>
      <c r="I737">
        <v>1912</v>
      </c>
      <c r="J737">
        <v>1912</v>
      </c>
      <c r="K737">
        <v>1912</v>
      </c>
    </row>
    <row r="738" spans="1:13" x14ac:dyDescent="0.3">
      <c r="A738">
        <v>1922.99</v>
      </c>
      <c r="B738">
        <v>1922.99</v>
      </c>
      <c r="C738">
        <v>1922.99</v>
      </c>
      <c r="D738">
        <v>1922.99</v>
      </c>
      <c r="E738">
        <v>1922.99</v>
      </c>
      <c r="F738">
        <v>1922.99</v>
      </c>
      <c r="G738">
        <v>1922.99</v>
      </c>
      <c r="H738">
        <v>1922.99</v>
      </c>
      <c r="I738">
        <v>1922.99</v>
      </c>
      <c r="J738">
        <v>1922.99</v>
      </c>
      <c r="K738">
        <v>1922.99</v>
      </c>
    </row>
    <row r="739" spans="1:13" x14ac:dyDescent="0.3">
      <c r="A739">
        <v>100</v>
      </c>
      <c r="B739">
        <v>100</v>
      </c>
      <c r="C739">
        <v>100</v>
      </c>
      <c r="D739">
        <v>100</v>
      </c>
      <c r="E739">
        <v>100</v>
      </c>
      <c r="F739">
        <v>100</v>
      </c>
      <c r="G739">
        <v>100</v>
      </c>
      <c r="H739">
        <v>100</v>
      </c>
      <c r="I739">
        <v>100</v>
      </c>
      <c r="J739">
        <v>100</v>
      </c>
      <c r="K739">
        <v>100</v>
      </c>
    </row>
    <row r="740" spans="1:13" x14ac:dyDescent="0.3">
      <c r="A740" t="s">
        <v>36</v>
      </c>
      <c r="B740" t="s">
        <v>36</v>
      </c>
      <c r="C740" t="s">
        <v>36</v>
      </c>
      <c r="D740" t="s">
        <v>36</v>
      </c>
      <c r="E740" t="s">
        <v>36</v>
      </c>
      <c r="F740" t="s">
        <v>36</v>
      </c>
      <c r="G740" t="s">
        <v>36</v>
      </c>
      <c r="H740" t="s">
        <v>36</v>
      </c>
      <c r="I740" t="s">
        <v>36</v>
      </c>
      <c r="J740" t="s">
        <v>36</v>
      </c>
      <c r="K740" t="s">
        <v>36</v>
      </c>
    </row>
    <row r="741" spans="1:13" x14ac:dyDescent="0.3">
      <c r="A741">
        <v>303041</v>
      </c>
      <c r="B741">
        <v>303041</v>
      </c>
      <c r="C741">
        <v>303041</v>
      </c>
      <c r="D741">
        <v>303041</v>
      </c>
      <c r="E741">
        <v>303041</v>
      </c>
      <c r="F741">
        <v>303041</v>
      </c>
      <c r="G741">
        <v>303041</v>
      </c>
      <c r="H741">
        <v>303041</v>
      </c>
      <c r="I741">
        <v>303041</v>
      </c>
      <c r="J741">
        <v>303041</v>
      </c>
      <c r="K741">
        <v>303041</v>
      </c>
    </row>
    <row r="742" spans="1:13" x14ac:dyDescent="0.3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</row>
    <row r="743" spans="1:13" x14ac:dyDescent="0.3">
      <c r="A743" t="s">
        <v>19</v>
      </c>
      <c r="B743" t="s">
        <v>19</v>
      </c>
      <c r="C743" t="s">
        <v>19</v>
      </c>
      <c r="D743" t="s">
        <v>19</v>
      </c>
      <c r="E743" t="s">
        <v>19</v>
      </c>
      <c r="F743" t="s">
        <v>19</v>
      </c>
      <c r="G743" t="s">
        <v>19</v>
      </c>
      <c r="H743" t="s">
        <v>19</v>
      </c>
      <c r="I743" t="s">
        <v>19</v>
      </c>
      <c r="J743" t="s">
        <v>19</v>
      </c>
      <c r="K743" t="s">
        <v>19</v>
      </c>
    </row>
    <row r="744" spans="1:13" x14ac:dyDescent="0.3">
      <c r="A744" t="s">
        <v>20</v>
      </c>
      <c r="B744" t="s">
        <v>20</v>
      </c>
      <c r="C744" t="s">
        <v>20</v>
      </c>
      <c r="D744" t="s">
        <v>20</v>
      </c>
      <c r="E744" t="s">
        <v>20</v>
      </c>
      <c r="F744" t="s">
        <v>20</v>
      </c>
      <c r="G744" t="s">
        <v>20</v>
      </c>
      <c r="H744" t="s">
        <v>20</v>
      </c>
      <c r="I744" t="s">
        <v>20</v>
      </c>
      <c r="J744" t="s">
        <v>20</v>
      </c>
      <c r="K744" t="s">
        <v>20</v>
      </c>
    </row>
    <row r="745" spans="1:13" x14ac:dyDescent="0.3">
      <c r="A745" t="s">
        <v>15</v>
      </c>
      <c r="B745" t="s">
        <v>15</v>
      </c>
      <c r="C745" t="s">
        <v>15</v>
      </c>
      <c r="D745" t="s">
        <v>15</v>
      </c>
      <c r="E745" t="s">
        <v>15</v>
      </c>
      <c r="F745" t="s">
        <v>15</v>
      </c>
      <c r="G745" t="s">
        <v>15</v>
      </c>
      <c r="H745" t="s">
        <v>15</v>
      </c>
      <c r="I745" t="s">
        <v>15</v>
      </c>
      <c r="J745" t="s">
        <v>15</v>
      </c>
      <c r="K745" t="s">
        <v>15</v>
      </c>
      <c r="L745" t="s">
        <v>16</v>
      </c>
      <c r="M745" t="s">
        <v>17</v>
      </c>
    </row>
    <row r="746" spans="1:13" x14ac:dyDescent="0.3">
      <c r="A746">
        <v>145.44</v>
      </c>
      <c r="B746">
        <v>145.44</v>
      </c>
      <c r="C746">
        <v>145.44</v>
      </c>
      <c r="D746">
        <v>145.44</v>
      </c>
      <c r="E746">
        <v>145.44</v>
      </c>
      <c r="F746">
        <v>145.44</v>
      </c>
      <c r="G746">
        <v>145.44</v>
      </c>
      <c r="H746">
        <v>145.44</v>
      </c>
      <c r="I746">
        <v>145.44</v>
      </c>
      <c r="J746">
        <v>145.44</v>
      </c>
      <c r="K746">
        <v>145.44</v>
      </c>
    </row>
    <row r="747" spans="1:13" x14ac:dyDescent="0.3">
      <c r="A747">
        <v>1.18</v>
      </c>
      <c r="B747">
        <v>1.18</v>
      </c>
      <c r="C747">
        <v>1.18</v>
      </c>
      <c r="D747">
        <v>1.18</v>
      </c>
      <c r="E747">
        <v>1.18</v>
      </c>
      <c r="F747">
        <v>1.18</v>
      </c>
      <c r="G747">
        <v>1.18</v>
      </c>
      <c r="H747">
        <v>1.18</v>
      </c>
      <c r="I747">
        <v>1.18</v>
      </c>
      <c r="J747">
        <v>1.18</v>
      </c>
      <c r="K747">
        <v>1.18</v>
      </c>
    </row>
    <row r="748" spans="1:13" x14ac:dyDescent="0.3">
      <c r="A748">
        <v>100</v>
      </c>
      <c r="B748">
        <v>100</v>
      </c>
      <c r="C748">
        <v>100</v>
      </c>
      <c r="D748">
        <v>100</v>
      </c>
      <c r="E748">
        <v>100</v>
      </c>
      <c r="F748">
        <v>100</v>
      </c>
      <c r="G748">
        <v>100</v>
      </c>
      <c r="H748">
        <v>100</v>
      </c>
      <c r="I748">
        <v>100</v>
      </c>
      <c r="J748">
        <v>100</v>
      </c>
      <c r="K748">
        <v>100</v>
      </c>
    </row>
    <row r="749" spans="1:13" x14ac:dyDescent="0.3">
      <c r="A749">
        <v>144.66</v>
      </c>
      <c r="B749">
        <v>144.66</v>
      </c>
      <c r="C749">
        <v>144.66</v>
      </c>
      <c r="D749">
        <v>144.66</v>
      </c>
      <c r="E749">
        <v>144.66</v>
      </c>
      <c r="F749">
        <v>144.66</v>
      </c>
      <c r="G749">
        <v>144.66</v>
      </c>
      <c r="H749">
        <v>144.66</v>
      </c>
      <c r="I749">
        <v>144.66</v>
      </c>
      <c r="J749">
        <v>144.66</v>
      </c>
      <c r="K749">
        <v>144.66</v>
      </c>
    </row>
    <row r="750" spans="1:13" x14ac:dyDescent="0.3">
      <c r="A750">
        <v>145.65</v>
      </c>
      <c r="B750">
        <v>145.65</v>
      </c>
      <c r="C750">
        <v>145.65</v>
      </c>
      <c r="D750">
        <v>145.65</v>
      </c>
      <c r="E750">
        <v>145.65</v>
      </c>
      <c r="F750">
        <v>145.65</v>
      </c>
      <c r="G750">
        <v>145.65</v>
      </c>
      <c r="H750">
        <v>145.65</v>
      </c>
      <c r="I750">
        <v>145.65</v>
      </c>
      <c r="J750">
        <v>145.65</v>
      </c>
      <c r="K750">
        <v>145.65</v>
      </c>
    </row>
    <row r="751" spans="1:13" x14ac:dyDescent="0.3">
      <c r="A751">
        <v>200</v>
      </c>
      <c r="B751">
        <v>200</v>
      </c>
      <c r="C751">
        <v>200</v>
      </c>
      <c r="D751">
        <v>200</v>
      </c>
      <c r="E751">
        <v>200</v>
      </c>
      <c r="F751">
        <v>200</v>
      </c>
      <c r="G751">
        <v>200</v>
      </c>
      <c r="H751">
        <v>200</v>
      </c>
      <c r="I751">
        <v>200</v>
      </c>
      <c r="J751">
        <v>200</v>
      </c>
      <c r="K751">
        <v>200</v>
      </c>
    </row>
    <row r="752" spans="1:13" x14ac:dyDescent="0.3">
      <c r="A752" t="s">
        <v>45</v>
      </c>
      <c r="B752" t="s">
        <v>45</v>
      </c>
      <c r="C752" t="s">
        <v>45</v>
      </c>
      <c r="D752" t="s">
        <v>45</v>
      </c>
      <c r="E752" t="s">
        <v>45</v>
      </c>
      <c r="F752" t="s">
        <v>45</v>
      </c>
      <c r="G752" t="s">
        <v>45</v>
      </c>
      <c r="H752" t="s">
        <v>45</v>
      </c>
      <c r="I752" t="s">
        <v>45</v>
      </c>
      <c r="J752" t="s">
        <v>45</v>
      </c>
      <c r="K752" t="s">
        <v>45</v>
      </c>
    </row>
    <row r="753" spans="1:13" x14ac:dyDescent="0.3">
      <c r="A753">
        <v>2824611</v>
      </c>
      <c r="B753">
        <v>2824611</v>
      </c>
      <c r="C753">
        <v>2824611</v>
      </c>
      <c r="D753">
        <v>2824611</v>
      </c>
      <c r="E753">
        <v>2824611</v>
      </c>
      <c r="F753">
        <v>2824611</v>
      </c>
      <c r="G753">
        <v>2824611</v>
      </c>
      <c r="H753">
        <v>2824611</v>
      </c>
      <c r="I753">
        <v>2824611</v>
      </c>
      <c r="J753">
        <v>2824611</v>
      </c>
      <c r="K753">
        <v>2824611</v>
      </c>
    </row>
    <row r="754" spans="1:13" x14ac:dyDescent="0.3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</row>
    <row r="755" spans="1:13" x14ac:dyDescent="0.3">
      <c r="A755" t="s">
        <v>19</v>
      </c>
      <c r="B755" t="s">
        <v>19</v>
      </c>
      <c r="C755" t="s">
        <v>19</v>
      </c>
      <c r="D755" t="s">
        <v>19</v>
      </c>
      <c r="E755" t="s">
        <v>19</v>
      </c>
      <c r="F755" t="s">
        <v>19</v>
      </c>
      <c r="G755" t="s">
        <v>19</v>
      </c>
      <c r="H755" t="s">
        <v>19</v>
      </c>
      <c r="I755" t="s">
        <v>19</v>
      </c>
      <c r="J755" t="s">
        <v>19</v>
      </c>
      <c r="K755" t="s">
        <v>19</v>
      </c>
    </row>
    <row r="756" spans="1:13" x14ac:dyDescent="0.3">
      <c r="A756" t="s">
        <v>28</v>
      </c>
      <c r="B756" t="s">
        <v>28</v>
      </c>
      <c r="C756" t="s">
        <v>28</v>
      </c>
      <c r="D756" t="s">
        <v>28</v>
      </c>
      <c r="E756" t="s">
        <v>28</v>
      </c>
      <c r="F756" t="s">
        <v>28</v>
      </c>
      <c r="G756" t="s">
        <v>28</v>
      </c>
      <c r="H756" t="s">
        <v>28</v>
      </c>
      <c r="I756" t="s">
        <v>28</v>
      </c>
      <c r="J756" t="s">
        <v>28</v>
      </c>
      <c r="K756" t="s">
        <v>28</v>
      </c>
    </row>
    <row r="757" spans="1:13" x14ac:dyDescent="0.3">
      <c r="A757" t="s">
        <v>15</v>
      </c>
      <c r="B757" t="s">
        <v>15</v>
      </c>
      <c r="C757" t="s">
        <v>15</v>
      </c>
      <c r="D757" t="s">
        <v>15</v>
      </c>
      <c r="E757" t="s">
        <v>15</v>
      </c>
      <c r="F757" t="s">
        <v>15</v>
      </c>
      <c r="G757" t="s">
        <v>15</v>
      </c>
      <c r="H757" t="s">
        <v>15</v>
      </c>
      <c r="I757" t="s">
        <v>15</v>
      </c>
      <c r="J757" t="s">
        <v>15</v>
      </c>
      <c r="K757" t="s">
        <v>15</v>
      </c>
      <c r="L757" t="s">
        <v>16</v>
      </c>
      <c r="M757" t="s">
        <v>17</v>
      </c>
    </row>
    <row r="758" spans="1:13" x14ac:dyDescent="0.3">
      <c r="A758">
        <v>81.099999999999994</v>
      </c>
      <c r="B758">
        <v>81.099999999999994</v>
      </c>
      <c r="C758">
        <v>81.099999999999994</v>
      </c>
      <c r="D758">
        <v>81.099999999999994</v>
      </c>
      <c r="E758">
        <v>81.099999999999994</v>
      </c>
      <c r="F758">
        <v>81.099999999999994</v>
      </c>
      <c r="G758">
        <v>81.099999999999994</v>
      </c>
      <c r="H758">
        <v>81.099999999999994</v>
      </c>
      <c r="I758">
        <v>81.099999999999994</v>
      </c>
      <c r="J758">
        <v>81.099999999999994</v>
      </c>
      <c r="K758">
        <v>81.099999999999994</v>
      </c>
    </row>
    <row r="759" spans="1:13" x14ac:dyDescent="0.3">
      <c r="A759">
        <v>-0.18</v>
      </c>
      <c r="B759">
        <v>-0.18</v>
      </c>
      <c r="C759">
        <v>-0.18</v>
      </c>
      <c r="D759">
        <v>-0.18</v>
      </c>
      <c r="E759">
        <v>-0.18</v>
      </c>
      <c r="F759">
        <v>-0.18</v>
      </c>
      <c r="G759">
        <v>-0.18</v>
      </c>
      <c r="H759">
        <v>-0.18</v>
      </c>
      <c r="I759">
        <v>-0.18</v>
      </c>
      <c r="J759">
        <v>-0.18</v>
      </c>
      <c r="K759">
        <v>-0.18</v>
      </c>
    </row>
    <row r="760" spans="1:13" x14ac:dyDescent="0.3">
      <c r="A760">
        <v>600</v>
      </c>
      <c r="B760">
        <v>600</v>
      </c>
      <c r="C760">
        <v>600</v>
      </c>
      <c r="D760">
        <v>600</v>
      </c>
      <c r="E760">
        <v>600</v>
      </c>
      <c r="F760">
        <v>600</v>
      </c>
      <c r="G760">
        <v>600</v>
      </c>
      <c r="H760">
        <v>600</v>
      </c>
      <c r="I760">
        <v>600</v>
      </c>
      <c r="J760">
        <v>600</v>
      </c>
      <c r="K760">
        <v>600</v>
      </c>
    </row>
    <row r="761" spans="1:13" x14ac:dyDescent="0.3">
      <c r="A761">
        <v>81.05</v>
      </c>
      <c r="B761">
        <v>81.05</v>
      </c>
      <c r="C761">
        <v>81.05</v>
      </c>
      <c r="D761">
        <v>81.05</v>
      </c>
      <c r="E761">
        <v>81.05</v>
      </c>
      <c r="F761">
        <v>81.05</v>
      </c>
      <c r="G761">
        <v>81.05</v>
      </c>
      <c r="H761">
        <v>81.05</v>
      </c>
      <c r="I761">
        <v>81.05</v>
      </c>
      <c r="J761">
        <v>81.05</v>
      </c>
      <c r="K761">
        <v>81.05</v>
      </c>
    </row>
    <row r="762" spans="1:13" x14ac:dyDescent="0.3">
      <c r="A762">
        <v>81.180000000000007</v>
      </c>
      <c r="B762">
        <v>81.180000000000007</v>
      </c>
      <c r="C762">
        <v>81.180000000000007</v>
      </c>
      <c r="D762">
        <v>81.180000000000007</v>
      </c>
      <c r="E762">
        <v>81.180000000000007</v>
      </c>
      <c r="F762">
        <v>81.180000000000007</v>
      </c>
      <c r="G762">
        <v>81.180000000000007</v>
      </c>
      <c r="H762">
        <v>81.180000000000007</v>
      </c>
      <c r="I762">
        <v>81.180000000000007</v>
      </c>
      <c r="J762">
        <v>81.180000000000007</v>
      </c>
      <c r="K762">
        <v>81.180000000000007</v>
      </c>
    </row>
    <row r="763" spans="1:13" x14ac:dyDescent="0.3">
      <c r="A763">
        <v>100</v>
      </c>
      <c r="B763">
        <v>100</v>
      </c>
      <c r="C763">
        <v>100</v>
      </c>
      <c r="D763">
        <v>100</v>
      </c>
      <c r="E763">
        <v>100</v>
      </c>
      <c r="F763">
        <v>100</v>
      </c>
      <c r="G763">
        <v>100</v>
      </c>
      <c r="H763">
        <v>100</v>
      </c>
      <c r="I763">
        <v>100</v>
      </c>
      <c r="J763">
        <v>100</v>
      </c>
      <c r="K763">
        <v>100</v>
      </c>
    </row>
    <row r="764" spans="1:13" x14ac:dyDescent="0.3">
      <c r="A764" t="s">
        <v>36</v>
      </c>
      <c r="B764" t="s">
        <v>36</v>
      </c>
      <c r="C764" t="s">
        <v>36</v>
      </c>
      <c r="D764" t="s">
        <v>36</v>
      </c>
      <c r="E764" t="s">
        <v>36</v>
      </c>
      <c r="F764" t="s">
        <v>36</v>
      </c>
      <c r="G764" t="s">
        <v>36</v>
      </c>
      <c r="H764" t="s">
        <v>36</v>
      </c>
      <c r="I764" t="s">
        <v>36</v>
      </c>
      <c r="J764" t="s">
        <v>36</v>
      </c>
      <c r="K764" t="s">
        <v>36</v>
      </c>
    </row>
    <row r="765" spans="1:13" x14ac:dyDescent="0.3">
      <c r="A765">
        <v>10924861</v>
      </c>
      <c r="B765">
        <v>10924861</v>
      </c>
      <c r="C765">
        <v>10924861</v>
      </c>
      <c r="D765">
        <v>10924861</v>
      </c>
      <c r="E765">
        <v>10924861</v>
      </c>
      <c r="F765">
        <v>10924861</v>
      </c>
      <c r="G765">
        <v>10924861</v>
      </c>
      <c r="H765">
        <v>10924861</v>
      </c>
      <c r="I765">
        <v>10924861</v>
      </c>
      <c r="J765">
        <v>10924861</v>
      </c>
      <c r="K765">
        <v>10924861</v>
      </c>
    </row>
    <row r="766" spans="1:13" x14ac:dyDescent="0.3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</row>
    <row r="767" spans="1:13" x14ac:dyDescent="0.3">
      <c r="A767" t="s">
        <v>19</v>
      </c>
      <c r="B767" t="s">
        <v>19</v>
      </c>
      <c r="C767" t="s">
        <v>19</v>
      </c>
      <c r="D767" t="s">
        <v>19</v>
      </c>
      <c r="E767" t="s">
        <v>19</v>
      </c>
      <c r="F767" t="s">
        <v>19</v>
      </c>
      <c r="G767" t="s">
        <v>19</v>
      </c>
      <c r="H767" t="s">
        <v>19</v>
      </c>
      <c r="I767" t="s">
        <v>19</v>
      </c>
      <c r="J767" t="s">
        <v>19</v>
      </c>
      <c r="K767" t="s">
        <v>19</v>
      </c>
    </row>
    <row r="768" spans="1:13" x14ac:dyDescent="0.3">
      <c r="A768" t="s">
        <v>20</v>
      </c>
      <c r="B768" t="s">
        <v>20</v>
      </c>
      <c r="C768" t="s">
        <v>20</v>
      </c>
      <c r="D768" t="s">
        <v>20</v>
      </c>
      <c r="E768" t="s">
        <v>20</v>
      </c>
      <c r="F768" t="s">
        <v>20</v>
      </c>
      <c r="G768" t="s">
        <v>20</v>
      </c>
      <c r="H768" t="s">
        <v>20</v>
      </c>
      <c r="I768" t="s">
        <v>20</v>
      </c>
      <c r="J768" t="s">
        <v>20</v>
      </c>
      <c r="K768" t="s">
        <v>20</v>
      </c>
    </row>
    <row r="769" spans="1:13" x14ac:dyDescent="0.3">
      <c r="A769" t="s">
        <v>15</v>
      </c>
      <c r="B769" t="s">
        <v>15</v>
      </c>
      <c r="C769" t="s">
        <v>15</v>
      </c>
      <c r="D769" t="s">
        <v>15</v>
      </c>
      <c r="E769" t="s">
        <v>15</v>
      </c>
      <c r="F769" t="s">
        <v>15</v>
      </c>
      <c r="G769" t="s">
        <v>15</v>
      </c>
      <c r="H769" t="s">
        <v>15</v>
      </c>
      <c r="I769" t="s">
        <v>15</v>
      </c>
      <c r="J769" t="s">
        <v>15</v>
      </c>
      <c r="K769" t="s">
        <v>15</v>
      </c>
      <c r="L769" t="s">
        <v>16</v>
      </c>
      <c r="M769" t="s">
        <v>17</v>
      </c>
    </row>
    <row r="770" spans="1:13" x14ac:dyDescent="0.3">
      <c r="A770">
        <v>242.2</v>
      </c>
      <c r="B770">
        <v>242.2</v>
      </c>
      <c r="C770">
        <v>242.2</v>
      </c>
      <c r="D770">
        <v>242.2</v>
      </c>
      <c r="E770">
        <v>242.2</v>
      </c>
      <c r="F770">
        <v>242.2</v>
      </c>
      <c r="G770">
        <v>242.2</v>
      </c>
      <c r="H770">
        <v>242.2</v>
      </c>
      <c r="I770">
        <v>242.2</v>
      </c>
      <c r="J770">
        <v>242.2</v>
      </c>
      <c r="K770">
        <v>242.2</v>
      </c>
    </row>
    <row r="771" spans="1:13" x14ac:dyDescent="0.3">
      <c r="A771">
        <v>0.08</v>
      </c>
      <c r="B771">
        <v>0.08</v>
      </c>
      <c r="C771">
        <v>0.08</v>
      </c>
      <c r="D771">
        <v>0.08</v>
      </c>
      <c r="E771">
        <v>0.08</v>
      </c>
      <c r="F771">
        <v>0.08</v>
      </c>
      <c r="G771">
        <v>0.08</v>
      </c>
      <c r="H771">
        <v>0.08</v>
      </c>
      <c r="I771">
        <v>0.08</v>
      </c>
      <c r="J771">
        <v>0.08</v>
      </c>
      <c r="K771">
        <v>0.08</v>
      </c>
    </row>
    <row r="772" spans="1:13" x14ac:dyDescent="0.3">
      <c r="A772">
        <v>200</v>
      </c>
      <c r="B772">
        <v>200</v>
      </c>
      <c r="C772">
        <v>200</v>
      </c>
      <c r="D772">
        <v>200</v>
      </c>
      <c r="E772">
        <v>200</v>
      </c>
      <c r="F772">
        <v>200</v>
      </c>
      <c r="G772">
        <v>200</v>
      </c>
      <c r="H772">
        <v>200</v>
      </c>
      <c r="I772">
        <v>200</v>
      </c>
      <c r="J772">
        <v>200</v>
      </c>
      <c r="K772">
        <v>200</v>
      </c>
    </row>
    <row r="773" spans="1:13" x14ac:dyDescent="0.3">
      <c r="A773">
        <v>242.2</v>
      </c>
      <c r="B773">
        <v>242.2</v>
      </c>
      <c r="C773">
        <v>242.2</v>
      </c>
      <c r="D773">
        <v>242.2</v>
      </c>
      <c r="E773">
        <v>242.2</v>
      </c>
      <c r="F773">
        <v>242.2</v>
      </c>
      <c r="G773">
        <v>242.2</v>
      </c>
      <c r="H773">
        <v>242.2</v>
      </c>
      <c r="I773">
        <v>242.2</v>
      </c>
      <c r="J773">
        <v>242.2</v>
      </c>
      <c r="K773">
        <v>242.2</v>
      </c>
    </row>
    <row r="774" spans="1:13" x14ac:dyDescent="0.3">
      <c r="A774">
        <v>242.29</v>
      </c>
      <c r="B774">
        <v>242.29</v>
      </c>
      <c r="C774">
        <v>242.29</v>
      </c>
      <c r="D774">
        <v>242.29</v>
      </c>
      <c r="E774">
        <v>242.29</v>
      </c>
      <c r="F774">
        <v>242.29</v>
      </c>
      <c r="G774">
        <v>242.29</v>
      </c>
      <c r="H774">
        <v>242.29</v>
      </c>
      <c r="I774">
        <v>242.29</v>
      </c>
      <c r="J774">
        <v>242.29</v>
      </c>
      <c r="K774">
        <v>242.29</v>
      </c>
    </row>
    <row r="775" spans="1:13" x14ac:dyDescent="0.3">
      <c r="A775">
        <v>200</v>
      </c>
      <c r="B775">
        <v>200</v>
      </c>
      <c r="C775">
        <v>200</v>
      </c>
      <c r="D775">
        <v>200</v>
      </c>
      <c r="E775">
        <v>200</v>
      </c>
      <c r="F775">
        <v>200</v>
      </c>
      <c r="G775">
        <v>200</v>
      </c>
      <c r="H775">
        <v>200</v>
      </c>
      <c r="I775">
        <v>200</v>
      </c>
      <c r="J775">
        <v>200</v>
      </c>
      <c r="K775">
        <v>200</v>
      </c>
    </row>
    <row r="776" spans="1:13" x14ac:dyDescent="0.3">
      <c r="A776" t="s">
        <v>46</v>
      </c>
      <c r="B776" t="s">
        <v>46</v>
      </c>
      <c r="C776" t="s">
        <v>46</v>
      </c>
      <c r="D776" t="s">
        <v>46</v>
      </c>
      <c r="E776" t="s">
        <v>46</v>
      </c>
      <c r="F776" t="s">
        <v>46</v>
      </c>
      <c r="G776" t="s">
        <v>46</v>
      </c>
      <c r="H776" t="s">
        <v>46</v>
      </c>
      <c r="I776" t="s">
        <v>46</v>
      </c>
      <c r="J776" t="s">
        <v>46</v>
      </c>
      <c r="K776" t="s">
        <v>46</v>
      </c>
    </row>
    <row r="777" spans="1:13" x14ac:dyDescent="0.3">
      <c r="A777">
        <v>17923557</v>
      </c>
      <c r="B777">
        <v>17923557</v>
      </c>
      <c r="C777">
        <v>17923557</v>
      </c>
      <c r="D777">
        <v>17923557</v>
      </c>
      <c r="E777">
        <v>17923557</v>
      </c>
      <c r="F777">
        <v>17923557</v>
      </c>
      <c r="G777">
        <v>17923557</v>
      </c>
      <c r="H777">
        <v>17923557</v>
      </c>
      <c r="I777">
        <v>17923557</v>
      </c>
      <c r="J777">
        <v>17923557</v>
      </c>
      <c r="K777">
        <v>17923557</v>
      </c>
    </row>
    <row r="778" spans="1:13" x14ac:dyDescent="0.3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</row>
    <row r="779" spans="1:13" x14ac:dyDescent="0.3">
      <c r="A779" t="s">
        <v>19</v>
      </c>
      <c r="B779" t="s">
        <v>19</v>
      </c>
      <c r="C779" t="s">
        <v>19</v>
      </c>
      <c r="D779" t="s">
        <v>19</v>
      </c>
      <c r="E779" t="s">
        <v>19</v>
      </c>
      <c r="F779" t="s">
        <v>19</v>
      </c>
      <c r="G779" t="s">
        <v>19</v>
      </c>
      <c r="H779" t="s">
        <v>19</v>
      </c>
      <c r="I779" t="s">
        <v>19</v>
      </c>
      <c r="J779" t="s">
        <v>19</v>
      </c>
      <c r="K779" t="s">
        <v>19</v>
      </c>
    </row>
    <row r="780" spans="1:13" x14ac:dyDescent="0.3">
      <c r="A780" t="s">
        <v>20</v>
      </c>
      <c r="B780" t="s">
        <v>20</v>
      </c>
      <c r="C780" t="s">
        <v>20</v>
      </c>
      <c r="D780" t="s">
        <v>20</v>
      </c>
      <c r="E780" t="s">
        <v>20</v>
      </c>
      <c r="F780" t="s">
        <v>20</v>
      </c>
      <c r="G780" t="s">
        <v>20</v>
      </c>
      <c r="H780" t="s">
        <v>20</v>
      </c>
      <c r="I780" t="s">
        <v>20</v>
      </c>
      <c r="J780" t="s">
        <v>20</v>
      </c>
      <c r="K780" t="s">
        <v>20</v>
      </c>
    </row>
    <row r="781" spans="1:13" x14ac:dyDescent="0.3">
      <c r="A781" t="s">
        <v>15</v>
      </c>
      <c r="B781" t="s">
        <v>15</v>
      </c>
      <c r="C781" t="s">
        <v>15</v>
      </c>
      <c r="D781" t="s">
        <v>15</v>
      </c>
      <c r="E781" t="s">
        <v>15</v>
      </c>
      <c r="F781" t="s">
        <v>15</v>
      </c>
      <c r="G781" t="s">
        <v>15</v>
      </c>
      <c r="H781" t="s">
        <v>15</v>
      </c>
      <c r="I781" t="s">
        <v>15</v>
      </c>
      <c r="J781" t="s">
        <v>15</v>
      </c>
      <c r="K781" t="s">
        <v>15</v>
      </c>
      <c r="L781" t="s">
        <v>16</v>
      </c>
      <c r="M781" t="s">
        <v>17</v>
      </c>
    </row>
    <row r="782" spans="1:13" x14ac:dyDescent="0.3">
      <c r="A782">
        <v>176.12</v>
      </c>
      <c r="B782">
        <v>176.12</v>
      </c>
      <c r="C782">
        <v>176.12</v>
      </c>
      <c r="D782">
        <v>176.12</v>
      </c>
      <c r="E782">
        <v>176.12</v>
      </c>
      <c r="F782">
        <v>176.12</v>
      </c>
      <c r="G782">
        <v>176.12</v>
      </c>
      <c r="H782">
        <v>176.12</v>
      </c>
      <c r="I782">
        <v>176.12</v>
      </c>
      <c r="J782">
        <v>176.12</v>
      </c>
      <c r="K782">
        <v>176.12</v>
      </c>
    </row>
    <row r="783" spans="1:13" x14ac:dyDescent="0.3">
      <c r="A783">
        <v>1.69</v>
      </c>
      <c r="B783">
        <v>1.69</v>
      </c>
      <c r="C783">
        <v>1.69</v>
      </c>
      <c r="D783">
        <v>1.69</v>
      </c>
      <c r="E783">
        <v>1.69</v>
      </c>
      <c r="F783">
        <v>1.69</v>
      </c>
      <c r="G783">
        <v>1.69</v>
      </c>
      <c r="H783">
        <v>1.69</v>
      </c>
      <c r="I783">
        <v>1.69</v>
      </c>
      <c r="J783">
        <v>1.69</v>
      </c>
      <c r="K783">
        <v>1.69</v>
      </c>
    </row>
    <row r="784" spans="1:13" x14ac:dyDescent="0.3">
      <c r="A784">
        <v>1600</v>
      </c>
      <c r="B784">
        <v>1600</v>
      </c>
      <c r="C784">
        <v>1600</v>
      </c>
      <c r="D784">
        <v>1600</v>
      </c>
      <c r="E784">
        <v>1600</v>
      </c>
      <c r="F784">
        <v>1600</v>
      </c>
      <c r="G784">
        <v>1600</v>
      </c>
      <c r="H784">
        <v>1600</v>
      </c>
      <c r="I784">
        <v>1600</v>
      </c>
      <c r="J784">
        <v>1600</v>
      </c>
      <c r="K784">
        <v>1600</v>
      </c>
    </row>
    <row r="785" spans="1:13" x14ac:dyDescent="0.3">
      <c r="A785">
        <v>175.11</v>
      </c>
      <c r="B785">
        <v>175.11</v>
      </c>
      <c r="C785">
        <v>175.11</v>
      </c>
      <c r="D785">
        <v>175.11</v>
      </c>
      <c r="E785">
        <v>175.11</v>
      </c>
      <c r="F785">
        <v>175.11</v>
      </c>
      <c r="G785">
        <v>175.11</v>
      </c>
      <c r="H785">
        <v>175.11</v>
      </c>
      <c r="I785">
        <v>175.11</v>
      </c>
      <c r="J785">
        <v>175.11</v>
      </c>
      <c r="K785">
        <v>175.11</v>
      </c>
    </row>
    <row r="786" spans="1:13" x14ac:dyDescent="0.3">
      <c r="A786">
        <v>175.5</v>
      </c>
      <c r="B786">
        <v>175.5</v>
      </c>
      <c r="C786">
        <v>175.5</v>
      </c>
      <c r="D786">
        <v>175.5</v>
      </c>
      <c r="E786">
        <v>175.5</v>
      </c>
      <c r="F786">
        <v>175.5</v>
      </c>
      <c r="G786">
        <v>175.5</v>
      </c>
      <c r="H786">
        <v>175.5</v>
      </c>
      <c r="I786">
        <v>175.5</v>
      </c>
      <c r="J786">
        <v>175.5</v>
      </c>
      <c r="K786">
        <v>175.5</v>
      </c>
    </row>
    <row r="787" spans="1:13" x14ac:dyDescent="0.3">
      <c r="A787">
        <v>100</v>
      </c>
      <c r="B787">
        <v>100</v>
      </c>
      <c r="C787">
        <v>100</v>
      </c>
      <c r="D787">
        <v>100</v>
      </c>
      <c r="E787">
        <v>100</v>
      </c>
      <c r="F787">
        <v>100</v>
      </c>
      <c r="G787">
        <v>100</v>
      </c>
      <c r="H787">
        <v>100</v>
      </c>
      <c r="I787">
        <v>100</v>
      </c>
      <c r="J787">
        <v>100</v>
      </c>
      <c r="K787">
        <v>100</v>
      </c>
    </row>
    <row r="788" spans="1:13" x14ac:dyDescent="0.3">
      <c r="A788" t="s">
        <v>34</v>
      </c>
      <c r="B788" t="s">
        <v>34</v>
      </c>
      <c r="C788" t="s">
        <v>34</v>
      </c>
      <c r="D788" t="s">
        <v>34</v>
      </c>
      <c r="E788" t="s">
        <v>34</v>
      </c>
      <c r="F788" t="s">
        <v>34</v>
      </c>
      <c r="G788" t="s">
        <v>34</v>
      </c>
      <c r="H788" t="s">
        <v>34</v>
      </c>
      <c r="I788" t="s">
        <v>34</v>
      </c>
      <c r="J788" t="s">
        <v>34</v>
      </c>
      <c r="K788" t="s">
        <v>34</v>
      </c>
    </row>
    <row r="789" spans="1:13" x14ac:dyDescent="0.3">
      <c r="A789">
        <v>8942916</v>
      </c>
      <c r="B789">
        <v>8942916</v>
      </c>
      <c r="C789">
        <v>8942916</v>
      </c>
      <c r="D789">
        <v>8942916</v>
      </c>
      <c r="E789">
        <v>8942916</v>
      </c>
      <c r="F789">
        <v>8942916</v>
      </c>
      <c r="G789">
        <v>8942916</v>
      </c>
      <c r="H789">
        <v>8942916</v>
      </c>
      <c r="I789">
        <v>8942916</v>
      </c>
      <c r="J789">
        <v>8942916</v>
      </c>
      <c r="K789">
        <v>8942916</v>
      </c>
    </row>
    <row r="790" spans="1:13" x14ac:dyDescent="0.3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</row>
    <row r="791" spans="1:13" x14ac:dyDescent="0.3">
      <c r="A791" t="s">
        <v>19</v>
      </c>
      <c r="B791" t="s">
        <v>19</v>
      </c>
      <c r="C791" t="s">
        <v>19</v>
      </c>
      <c r="D791" t="s">
        <v>19</v>
      </c>
      <c r="E791" t="s">
        <v>19</v>
      </c>
      <c r="F791" t="s">
        <v>19</v>
      </c>
      <c r="G791" t="s">
        <v>19</v>
      </c>
      <c r="H791" t="s">
        <v>19</v>
      </c>
      <c r="I791" t="s">
        <v>19</v>
      </c>
      <c r="J791" t="s">
        <v>19</v>
      </c>
      <c r="K791" t="s">
        <v>19</v>
      </c>
    </row>
    <row r="792" spans="1:13" x14ac:dyDescent="0.3">
      <c r="A792" t="s">
        <v>20</v>
      </c>
      <c r="B792" t="s">
        <v>20</v>
      </c>
      <c r="C792" t="s">
        <v>20</v>
      </c>
      <c r="D792" t="s">
        <v>20</v>
      </c>
      <c r="E792" t="s">
        <v>20</v>
      </c>
      <c r="F792" t="s">
        <v>20</v>
      </c>
      <c r="G792" t="s">
        <v>20</v>
      </c>
      <c r="H792" t="s">
        <v>20</v>
      </c>
      <c r="I792" t="s">
        <v>20</v>
      </c>
      <c r="J792" t="s">
        <v>20</v>
      </c>
      <c r="K792" t="s">
        <v>20</v>
      </c>
    </row>
    <row r="793" spans="1:13" x14ac:dyDescent="0.3">
      <c r="A793" t="s">
        <v>15</v>
      </c>
      <c r="B793" t="s">
        <v>15</v>
      </c>
      <c r="C793" t="s">
        <v>15</v>
      </c>
      <c r="D793" t="s">
        <v>15</v>
      </c>
      <c r="E793" t="s">
        <v>15</v>
      </c>
      <c r="F793" t="s">
        <v>15</v>
      </c>
      <c r="G793" t="s">
        <v>15</v>
      </c>
      <c r="H793" t="s">
        <v>15</v>
      </c>
      <c r="I793" t="s">
        <v>15</v>
      </c>
      <c r="J793" t="s">
        <v>15</v>
      </c>
      <c r="K793" t="s">
        <v>15</v>
      </c>
      <c r="L793" t="s">
        <v>16</v>
      </c>
      <c r="M793" t="s">
        <v>17</v>
      </c>
    </row>
    <row r="794" spans="1:13" x14ac:dyDescent="0.3">
      <c r="A794">
        <v>56.21</v>
      </c>
      <c r="B794">
        <v>56.21</v>
      </c>
      <c r="C794">
        <v>56.21</v>
      </c>
      <c r="D794">
        <v>56.21</v>
      </c>
      <c r="E794">
        <v>56.21</v>
      </c>
      <c r="F794">
        <v>56.21</v>
      </c>
      <c r="G794">
        <v>56.21</v>
      </c>
      <c r="H794">
        <v>56.21</v>
      </c>
      <c r="I794">
        <v>56.21</v>
      </c>
      <c r="J794">
        <v>56.21</v>
      </c>
      <c r="K794">
        <v>56.21</v>
      </c>
    </row>
    <row r="795" spans="1:13" x14ac:dyDescent="0.3">
      <c r="A795">
        <v>0.38</v>
      </c>
      <c r="B795">
        <v>0.38</v>
      </c>
      <c r="C795">
        <v>0.38</v>
      </c>
      <c r="D795">
        <v>0.38</v>
      </c>
      <c r="E795">
        <v>0.38</v>
      </c>
      <c r="F795">
        <v>0.38</v>
      </c>
      <c r="G795">
        <v>0.38</v>
      </c>
      <c r="H795">
        <v>0.38</v>
      </c>
      <c r="I795">
        <v>0.38</v>
      </c>
      <c r="J795">
        <v>0.38</v>
      </c>
      <c r="K795">
        <v>0.38</v>
      </c>
    </row>
    <row r="796" spans="1:13" x14ac:dyDescent="0.3">
      <c r="A796">
        <v>100</v>
      </c>
      <c r="B796">
        <v>100</v>
      </c>
      <c r="C796">
        <v>100</v>
      </c>
      <c r="D796">
        <v>100</v>
      </c>
      <c r="E796">
        <v>100</v>
      </c>
      <c r="F796">
        <v>100</v>
      </c>
      <c r="G796">
        <v>100</v>
      </c>
      <c r="H796">
        <v>100</v>
      </c>
      <c r="I796">
        <v>100</v>
      </c>
      <c r="J796">
        <v>100</v>
      </c>
      <c r="K796">
        <v>100</v>
      </c>
    </row>
    <row r="797" spans="1:13" x14ac:dyDescent="0.3">
      <c r="A797">
        <v>56.22</v>
      </c>
      <c r="B797">
        <v>56.22</v>
      </c>
      <c r="C797">
        <v>56.22</v>
      </c>
      <c r="D797">
        <v>56.22</v>
      </c>
      <c r="E797">
        <v>56.22</v>
      </c>
      <c r="F797">
        <v>56.22</v>
      </c>
      <c r="G797">
        <v>56.22</v>
      </c>
      <c r="H797">
        <v>56.22</v>
      </c>
      <c r="I797">
        <v>56.22</v>
      </c>
      <c r="J797">
        <v>56.22</v>
      </c>
      <c r="K797">
        <v>56.22</v>
      </c>
    </row>
    <row r="798" spans="1:13" x14ac:dyDescent="0.3">
      <c r="A798">
        <v>56.36</v>
      </c>
      <c r="B798">
        <v>56.36</v>
      </c>
      <c r="C798">
        <v>56.36</v>
      </c>
      <c r="D798">
        <v>56.36</v>
      </c>
      <c r="E798">
        <v>56.36</v>
      </c>
      <c r="F798">
        <v>56.36</v>
      </c>
      <c r="G798">
        <v>56.36</v>
      </c>
      <c r="H798">
        <v>56.36</v>
      </c>
      <c r="I798">
        <v>56.36</v>
      </c>
      <c r="J798">
        <v>56.36</v>
      </c>
      <c r="K798">
        <v>56.36</v>
      </c>
    </row>
    <row r="799" spans="1:13" x14ac:dyDescent="0.3">
      <c r="A799">
        <v>200</v>
      </c>
      <c r="B799">
        <v>200</v>
      </c>
      <c r="C799">
        <v>200</v>
      </c>
      <c r="D799">
        <v>200</v>
      </c>
      <c r="E799">
        <v>200</v>
      </c>
      <c r="F799">
        <v>200</v>
      </c>
      <c r="G799">
        <v>200</v>
      </c>
      <c r="H799">
        <v>200</v>
      </c>
      <c r="I799">
        <v>200</v>
      </c>
      <c r="J799">
        <v>200</v>
      </c>
      <c r="K799">
        <v>200</v>
      </c>
    </row>
    <row r="800" spans="1:13" x14ac:dyDescent="0.3">
      <c r="A800" t="s">
        <v>37</v>
      </c>
      <c r="B800" t="s">
        <v>37</v>
      </c>
      <c r="C800" t="s">
        <v>37</v>
      </c>
      <c r="D800" t="s">
        <v>37</v>
      </c>
      <c r="E800" t="s">
        <v>37</v>
      </c>
      <c r="F800" t="s">
        <v>37</v>
      </c>
      <c r="G800" t="s">
        <v>37</v>
      </c>
      <c r="H800" t="s">
        <v>37</v>
      </c>
      <c r="I800" t="s">
        <v>37</v>
      </c>
      <c r="J800" t="s">
        <v>37</v>
      </c>
      <c r="K800" t="s">
        <v>37</v>
      </c>
    </row>
    <row r="801" spans="1:13" x14ac:dyDescent="0.3">
      <c r="A801">
        <v>4961019</v>
      </c>
      <c r="B801">
        <v>4961019</v>
      </c>
      <c r="C801">
        <v>4961019</v>
      </c>
      <c r="D801">
        <v>4961019</v>
      </c>
      <c r="E801">
        <v>4961019</v>
      </c>
      <c r="F801">
        <v>4961019</v>
      </c>
      <c r="G801">
        <v>4961019</v>
      </c>
      <c r="H801">
        <v>4961019</v>
      </c>
      <c r="I801">
        <v>4961019</v>
      </c>
      <c r="J801">
        <v>4961019</v>
      </c>
      <c r="K801">
        <v>4961019</v>
      </c>
    </row>
    <row r="802" spans="1:13" x14ac:dyDescent="0.3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</row>
    <row r="803" spans="1:13" x14ac:dyDescent="0.3">
      <c r="A803" t="s">
        <v>19</v>
      </c>
      <c r="B803" t="s">
        <v>19</v>
      </c>
      <c r="C803" t="s">
        <v>19</v>
      </c>
      <c r="D803" t="s">
        <v>19</v>
      </c>
      <c r="E803" t="s">
        <v>19</v>
      </c>
      <c r="F803" t="s">
        <v>19</v>
      </c>
      <c r="G803" t="s">
        <v>19</v>
      </c>
      <c r="H803" t="s">
        <v>19</v>
      </c>
      <c r="I803" t="s">
        <v>19</v>
      </c>
      <c r="J803" t="s">
        <v>19</v>
      </c>
      <c r="K803" t="s">
        <v>19</v>
      </c>
    </row>
    <row r="804" spans="1:13" x14ac:dyDescent="0.3">
      <c r="A804" t="s">
        <v>20</v>
      </c>
      <c r="B804" t="s">
        <v>20</v>
      </c>
      <c r="C804" t="s">
        <v>20</v>
      </c>
      <c r="D804" t="s">
        <v>20</v>
      </c>
      <c r="E804" t="s">
        <v>20</v>
      </c>
      <c r="F804" t="s">
        <v>20</v>
      </c>
      <c r="G804" t="s">
        <v>20</v>
      </c>
      <c r="H804" t="s">
        <v>20</v>
      </c>
      <c r="I804" t="s">
        <v>20</v>
      </c>
      <c r="J804" t="s">
        <v>20</v>
      </c>
      <c r="K804" t="s">
        <v>20</v>
      </c>
    </row>
    <row r="805" spans="1:13" x14ac:dyDescent="0.3">
      <c r="A805" t="s">
        <v>15</v>
      </c>
      <c r="B805" t="s">
        <v>15</v>
      </c>
      <c r="C805" t="s">
        <v>15</v>
      </c>
      <c r="D805" t="s">
        <v>15</v>
      </c>
      <c r="E805" t="s">
        <v>15</v>
      </c>
      <c r="F805" t="s">
        <v>15</v>
      </c>
      <c r="G805" t="s">
        <v>15</v>
      </c>
      <c r="H805" t="s">
        <v>15</v>
      </c>
      <c r="I805" t="s">
        <v>15</v>
      </c>
      <c r="J805" t="s">
        <v>15</v>
      </c>
      <c r="K805" t="s">
        <v>15</v>
      </c>
      <c r="L805" t="s">
        <v>16</v>
      </c>
      <c r="M805" t="s">
        <v>17</v>
      </c>
    </row>
    <row r="806" spans="1:13" x14ac:dyDescent="0.3">
      <c r="A806">
        <v>91.1</v>
      </c>
      <c r="B806">
        <v>91.1</v>
      </c>
      <c r="C806">
        <v>91.1</v>
      </c>
      <c r="D806">
        <v>91.1</v>
      </c>
      <c r="E806">
        <v>91.1</v>
      </c>
      <c r="F806">
        <v>91.1</v>
      </c>
      <c r="G806">
        <v>91.1</v>
      </c>
      <c r="H806">
        <v>91.1</v>
      </c>
      <c r="I806">
        <v>91.1</v>
      </c>
      <c r="J806">
        <v>91.1</v>
      </c>
      <c r="K806">
        <v>91.1</v>
      </c>
    </row>
    <row r="807" spans="1:13" x14ac:dyDescent="0.3">
      <c r="A807">
        <v>-0.4</v>
      </c>
      <c r="B807">
        <v>-0.4</v>
      </c>
      <c r="C807">
        <v>-0.4</v>
      </c>
      <c r="D807">
        <v>-0.4</v>
      </c>
      <c r="E807">
        <v>-0.4</v>
      </c>
      <c r="F807">
        <v>-0.4</v>
      </c>
      <c r="G807">
        <v>-0.4</v>
      </c>
      <c r="H807">
        <v>-0.4</v>
      </c>
      <c r="I807">
        <v>-0.4</v>
      </c>
      <c r="J807">
        <v>-0.4</v>
      </c>
      <c r="K807">
        <v>-0.4</v>
      </c>
    </row>
    <row r="808" spans="1:13" x14ac:dyDescent="0.3">
      <c r="A808">
        <v>300</v>
      </c>
      <c r="B808">
        <v>300</v>
      </c>
      <c r="C808">
        <v>300</v>
      </c>
      <c r="D808">
        <v>300</v>
      </c>
      <c r="E808">
        <v>300</v>
      </c>
      <c r="F808">
        <v>300</v>
      </c>
      <c r="G808">
        <v>300</v>
      </c>
      <c r="H808">
        <v>300</v>
      </c>
      <c r="I808">
        <v>300</v>
      </c>
      <c r="J808">
        <v>300</v>
      </c>
      <c r="K808">
        <v>300</v>
      </c>
    </row>
    <row r="809" spans="1:13" x14ac:dyDescent="0.3">
      <c r="A809">
        <v>89.43</v>
      </c>
      <c r="B809">
        <v>89.43</v>
      </c>
      <c r="C809">
        <v>89.43</v>
      </c>
      <c r="D809">
        <v>89.43</v>
      </c>
      <c r="E809">
        <v>89.43</v>
      </c>
      <c r="F809">
        <v>89.43</v>
      </c>
      <c r="G809">
        <v>89.43</v>
      </c>
      <c r="H809">
        <v>89.43</v>
      </c>
      <c r="I809">
        <v>89.43</v>
      </c>
      <c r="J809">
        <v>89.43</v>
      </c>
      <c r="K809">
        <v>89.43</v>
      </c>
    </row>
    <row r="810" spans="1:13" x14ac:dyDescent="0.3">
      <c r="A810">
        <v>91.76</v>
      </c>
      <c r="B810">
        <v>91.76</v>
      </c>
      <c r="C810">
        <v>91.76</v>
      </c>
      <c r="D810">
        <v>91.76</v>
      </c>
      <c r="E810">
        <v>91.76</v>
      </c>
      <c r="F810">
        <v>91.76</v>
      </c>
      <c r="G810">
        <v>91.76</v>
      </c>
      <c r="H810">
        <v>91.76</v>
      </c>
      <c r="I810">
        <v>91.76</v>
      </c>
      <c r="J810">
        <v>91.76</v>
      </c>
      <c r="K810">
        <v>91.76</v>
      </c>
    </row>
    <row r="811" spans="1:13" x14ac:dyDescent="0.3">
      <c r="A811">
        <v>300</v>
      </c>
      <c r="B811">
        <v>300</v>
      </c>
      <c r="C811">
        <v>300</v>
      </c>
      <c r="D811">
        <v>300</v>
      </c>
      <c r="E811">
        <v>300</v>
      </c>
      <c r="F811">
        <v>300</v>
      </c>
      <c r="G811">
        <v>300</v>
      </c>
      <c r="H811">
        <v>300</v>
      </c>
      <c r="I811">
        <v>300</v>
      </c>
      <c r="J811">
        <v>300</v>
      </c>
      <c r="K811">
        <v>300</v>
      </c>
    </row>
    <row r="812" spans="1:13" x14ac:dyDescent="0.3">
      <c r="A812" t="s">
        <v>34</v>
      </c>
      <c r="B812" t="s">
        <v>34</v>
      </c>
      <c r="C812" t="s">
        <v>34</v>
      </c>
      <c r="D812" t="s">
        <v>34</v>
      </c>
      <c r="E812" t="s">
        <v>34</v>
      </c>
      <c r="F812" t="s">
        <v>34</v>
      </c>
      <c r="G812" t="s">
        <v>34</v>
      </c>
      <c r="H812" t="s">
        <v>34</v>
      </c>
      <c r="I812" t="s">
        <v>34</v>
      </c>
      <c r="J812" t="s">
        <v>34</v>
      </c>
      <c r="K812" t="s">
        <v>34</v>
      </c>
    </row>
    <row r="813" spans="1:13" x14ac:dyDescent="0.3">
      <c r="A813">
        <v>1722452</v>
      </c>
      <c r="B813">
        <v>1722452</v>
      </c>
      <c r="C813">
        <v>1722452</v>
      </c>
      <c r="D813">
        <v>1722452</v>
      </c>
      <c r="E813">
        <v>1722452</v>
      </c>
      <c r="F813">
        <v>1722452</v>
      </c>
      <c r="G813">
        <v>1722452</v>
      </c>
      <c r="H813">
        <v>1722452</v>
      </c>
      <c r="I813">
        <v>1722452</v>
      </c>
      <c r="J813">
        <v>1722452</v>
      </c>
      <c r="K813">
        <v>1722452</v>
      </c>
    </row>
    <row r="814" spans="1:13" x14ac:dyDescent="0.3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</row>
    <row r="815" spans="1:13" x14ac:dyDescent="0.3">
      <c r="A815" t="s">
        <v>19</v>
      </c>
      <c r="B815" t="s">
        <v>19</v>
      </c>
      <c r="C815" t="s">
        <v>19</v>
      </c>
      <c r="D815" t="s">
        <v>19</v>
      </c>
      <c r="E815" t="s">
        <v>19</v>
      </c>
      <c r="F815" t="s">
        <v>19</v>
      </c>
      <c r="G815" t="s">
        <v>19</v>
      </c>
      <c r="H815" t="s">
        <v>19</v>
      </c>
      <c r="I815" t="s">
        <v>19</v>
      </c>
      <c r="J815" t="s">
        <v>19</v>
      </c>
      <c r="K815" t="s">
        <v>19</v>
      </c>
    </row>
    <row r="816" spans="1:13" x14ac:dyDescent="0.3">
      <c r="A816" t="s">
        <v>20</v>
      </c>
      <c r="B816" t="s">
        <v>20</v>
      </c>
      <c r="C816" t="s">
        <v>20</v>
      </c>
      <c r="D816" t="s">
        <v>20</v>
      </c>
      <c r="E816" t="s">
        <v>20</v>
      </c>
      <c r="F816" t="s">
        <v>20</v>
      </c>
      <c r="G816" t="s">
        <v>20</v>
      </c>
      <c r="H816" t="s">
        <v>20</v>
      </c>
      <c r="I816" t="s">
        <v>20</v>
      </c>
      <c r="J816" t="s">
        <v>20</v>
      </c>
      <c r="K816" t="s">
        <v>20</v>
      </c>
    </row>
    <row r="817" spans="1:13" x14ac:dyDescent="0.3">
      <c r="A817" t="s">
        <v>15</v>
      </c>
      <c r="B817" t="s">
        <v>15</v>
      </c>
      <c r="C817" t="s">
        <v>15</v>
      </c>
      <c r="D817" t="s">
        <v>15</v>
      </c>
      <c r="E817" t="s">
        <v>15</v>
      </c>
      <c r="F817" t="s">
        <v>15</v>
      </c>
      <c r="G817" t="s">
        <v>15</v>
      </c>
      <c r="H817" t="s">
        <v>15</v>
      </c>
      <c r="I817" t="s">
        <v>15</v>
      </c>
      <c r="J817" t="s">
        <v>15</v>
      </c>
      <c r="K817" t="s">
        <v>15</v>
      </c>
      <c r="L817" t="s">
        <v>16</v>
      </c>
      <c r="M817" t="s">
        <v>17</v>
      </c>
    </row>
    <row r="818" spans="1:13" x14ac:dyDescent="0.3">
      <c r="A818">
        <v>124.02</v>
      </c>
      <c r="B818">
        <v>124.02</v>
      </c>
      <c r="C818">
        <v>124.02</v>
      </c>
      <c r="D818">
        <v>124.02</v>
      </c>
      <c r="E818">
        <v>124.02</v>
      </c>
      <c r="F818">
        <v>124.02</v>
      </c>
      <c r="G818">
        <v>124.02</v>
      </c>
      <c r="H818">
        <v>124.02</v>
      </c>
      <c r="I818">
        <v>124.02</v>
      </c>
      <c r="J818">
        <v>124.02</v>
      </c>
      <c r="K818">
        <v>124.02</v>
      </c>
    </row>
    <row r="819" spans="1:13" x14ac:dyDescent="0.3">
      <c r="A819">
        <v>1.42</v>
      </c>
      <c r="B819">
        <v>1.42</v>
      </c>
      <c r="C819">
        <v>1.42</v>
      </c>
      <c r="D819">
        <v>1.42</v>
      </c>
      <c r="E819">
        <v>1.42</v>
      </c>
      <c r="F819">
        <v>1.42</v>
      </c>
      <c r="G819">
        <v>1.42</v>
      </c>
      <c r="H819">
        <v>1.42</v>
      </c>
      <c r="I819">
        <v>1.42</v>
      </c>
      <c r="J819">
        <v>1.42</v>
      </c>
      <c r="K819">
        <v>1.42</v>
      </c>
    </row>
    <row r="820" spans="1:13" x14ac:dyDescent="0.3">
      <c r="A820">
        <v>200</v>
      </c>
      <c r="B820">
        <v>200</v>
      </c>
      <c r="C820">
        <v>200</v>
      </c>
      <c r="D820">
        <v>200</v>
      </c>
      <c r="E820">
        <v>200</v>
      </c>
      <c r="F820">
        <v>200</v>
      </c>
      <c r="G820">
        <v>200</v>
      </c>
      <c r="H820">
        <v>200</v>
      </c>
      <c r="I820">
        <v>200</v>
      </c>
      <c r="J820">
        <v>200</v>
      </c>
      <c r="K820">
        <v>200</v>
      </c>
    </row>
    <row r="821" spans="1:13" x14ac:dyDescent="0.3">
      <c r="A821">
        <v>121.03</v>
      </c>
      <c r="B821">
        <v>121.03</v>
      </c>
      <c r="C821">
        <v>121.03</v>
      </c>
      <c r="D821">
        <v>121.03</v>
      </c>
      <c r="E821">
        <v>121.03</v>
      </c>
      <c r="F821">
        <v>121.03</v>
      </c>
      <c r="G821">
        <v>121.03</v>
      </c>
      <c r="H821">
        <v>121.03</v>
      </c>
      <c r="I821">
        <v>121.03</v>
      </c>
      <c r="J821">
        <v>121.03</v>
      </c>
      <c r="K821">
        <v>121.03</v>
      </c>
    </row>
    <row r="822" spans="1:13" x14ac:dyDescent="0.3">
      <c r="A822">
        <v>124.99</v>
      </c>
      <c r="B822">
        <v>124.99</v>
      </c>
      <c r="C822">
        <v>124.99</v>
      </c>
      <c r="D822">
        <v>124.99</v>
      </c>
      <c r="E822">
        <v>124.99</v>
      </c>
      <c r="F822">
        <v>124.99</v>
      </c>
      <c r="G822">
        <v>124.99</v>
      </c>
      <c r="H822">
        <v>124.99</v>
      </c>
      <c r="I822">
        <v>124.99</v>
      </c>
      <c r="J822">
        <v>124.99</v>
      </c>
      <c r="K822">
        <v>124.99</v>
      </c>
    </row>
    <row r="823" spans="1:13" x14ac:dyDescent="0.3">
      <c r="A823">
        <v>200</v>
      </c>
      <c r="B823">
        <v>200</v>
      </c>
      <c r="C823">
        <v>200</v>
      </c>
      <c r="D823">
        <v>200</v>
      </c>
      <c r="E823">
        <v>200</v>
      </c>
      <c r="F823">
        <v>200</v>
      </c>
      <c r="G823">
        <v>200</v>
      </c>
      <c r="H823">
        <v>200</v>
      </c>
      <c r="I823">
        <v>200</v>
      </c>
      <c r="J823">
        <v>200</v>
      </c>
      <c r="K823">
        <v>200</v>
      </c>
    </row>
    <row r="824" spans="1:13" x14ac:dyDescent="0.3">
      <c r="A824" t="s">
        <v>47</v>
      </c>
      <c r="B824" t="s">
        <v>47</v>
      </c>
      <c r="C824" t="s">
        <v>47</v>
      </c>
      <c r="D824" t="s">
        <v>47</v>
      </c>
      <c r="E824" t="s">
        <v>47</v>
      </c>
      <c r="F824" t="s">
        <v>47</v>
      </c>
      <c r="G824" t="s">
        <v>47</v>
      </c>
      <c r="H824" t="s">
        <v>47</v>
      </c>
      <c r="I824" t="s">
        <v>47</v>
      </c>
      <c r="J824" t="s">
        <v>47</v>
      </c>
      <c r="K824" t="s">
        <v>47</v>
      </c>
    </row>
    <row r="825" spans="1:13" x14ac:dyDescent="0.3">
      <c r="A825">
        <v>2137677</v>
      </c>
      <c r="B825">
        <v>2137677</v>
      </c>
      <c r="C825">
        <v>2137677</v>
      </c>
      <c r="D825">
        <v>2137677</v>
      </c>
      <c r="E825">
        <v>2137677</v>
      </c>
      <c r="F825">
        <v>2137677</v>
      </c>
      <c r="G825">
        <v>2137677</v>
      </c>
      <c r="H825">
        <v>2137677</v>
      </c>
      <c r="I825">
        <v>2137677</v>
      </c>
      <c r="J825">
        <v>2137677</v>
      </c>
      <c r="K825">
        <v>2137677</v>
      </c>
    </row>
    <row r="826" spans="1:13" x14ac:dyDescent="0.3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</row>
    <row r="827" spans="1:13" x14ac:dyDescent="0.3">
      <c r="A827" t="s">
        <v>19</v>
      </c>
      <c r="B827" t="s">
        <v>19</v>
      </c>
      <c r="C827" t="s">
        <v>19</v>
      </c>
      <c r="D827" t="s">
        <v>19</v>
      </c>
      <c r="E827" t="s">
        <v>19</v>
      </c>
      <c r="F827" t="s">
        <v>19</v>
      </c>
      <c r="G827" t="s">
        <v>19</v>
      </c>
      <c r="H827" t="s">
        <v>19</v>
      </c>
      <c r="I827" t="s">
        <v>19</v>
      </c>
      <c r="J827" t="s">
        <v>19</v>
      </c>
      <c r="K827" t="s">
        <v>19</v>
      </c>
    </row>
    <row r="828" spans="1:13" x14ac:dyDescent="0.3">
      <c r="A828" t="s">
        <v>20</v>
      </c>
      <c r="B828" t="s">
        <v>20</v>
      </c>
      <c r="C828" t="s">
        <v>20</v>
      </c>
      <c r="D828" t="s">
        <v>20</v>
      </c>
      <c r="E828" t="s">
        <v>20</v>
      </c>
      <c r="F828" t="s">
        <v>20</v>
      </c>
      <c r="G828" t="s">
        <v>20</v>
      </c>
      <c r="H828" t="s">
        <v>20</v>
      </c>
      <c r="I828" t="s">
        <v>20</v>
      </c>
      <c r="J828" t="s">
        <v>20</v>
      </c>
      <c r="K828" t="s">
        <v>20</v>
      </c>
    </row>
    <row r="829" spans="1:13" x14ac:dyDescent="0.3">
      <c r="A829" t="s">
        <v>15</v>
      </c>
      <c r="B829" t="s">
        <v>15</v>
      </c>
      <c r="C829" t="s">
        <v>15</v>
      </c>
      <c r="D829" t="s">
        <v>15</v>
      </c>
      <c r="E829" t="s">
        <v>15</v>
      </c>
      <c r="F829" t="s">
        <v>15</v>
      </c>
      <c r="G829" t="s">
        <v>15</v>
      </c>
      <c r="H829" t="s">
        <v>15</v>
      </c>
      <c r="I829" t="s">
        <v>15</v>
      </c>
      <c r="J829" t="s">
        <v>15</v>
      </c>
      <c r="K829" t="s">
        <v>15</v>
      </c>
      <c r="L829" t="s">
        <v>16</v>
      </c>
      <c r="M829" t="s">
        <v>17</v>
      </c>
    </row>
    <row r="830" spans="1:13" x14ac:dyDescent="0.3">
      <c r="A830">
        <v>550.79</v>
      </c>
      <c r="B830">
        <v>550.79</v>
      </c>
      <c r="C830">
        <v>550.79</v>
      </c>
      <c r="D830">
        <v>550.79</v>
      </c>
      <c r="E830">
        <v>550.79</v>
      </c>
      <c r="F830">
        <v>550.79</v>
      </c>
      <c r="G830">
        <v>550.79</v>
      </c>
      <c r="H830">
        <v>550.79</v>
      </c>
      <c r="I830">
        <v>550.79</v>
      </c>
      <c r="J830">
        <v>550.79</v>
      </c>
      <c r="K830">
        <v>550.79</v>
      </c>
    </row>
    <row r="831" spans="1:13" x14ac:dyDescent="0.3">
      <c r="A831">
        <v>-0.25</v>
      </c>
      <c r="B831">
        <v>-0.25</v>
      </c>
      <c r="C831">
        <v>-0.25</v>
      </c>
      <c r="D831">
        <v>-0.25</v>
      </c>
      <c r="E831">
        <v>-0.25</v>
      </c>
      <c r="F831">
        <v>-0.25</v>
      </c>
      <c r="G831">
        <v>-0.25</v>
      </c>
      <c r="H831">
        <v>-0.25</v>
      </c>
      <c r="I831">
        <v>-0.25</v>
      </c>
      <c r="J831">
        <v>-0.25</v>
      </c>
      <c r="K831">
        <v>-0.25</v>
      </c>
    </row>
    <row r="832" spans="1:13" x14ac:dyDescent="0.3">
      <c r="A832">
        <v>100</v>
      </c>
      <c r="B832">
        <v>100</v>
      </c>
      <c r="C832">
        <v>100</v>
      </c>
      <c r="D832">
        <v>100</v>
      </c>
      <c r="E832">
        <v>100</v>
      </c>
      <c r="F832">
        <v>100</v>
      </c>
      <c r="G832">
        <v>100</v>
      </c>
      <c r="H832">
        <v>100</v>
      </c>
      <c r="I832">
        <v>100</v>
      </c>
      <c r="J832">
        <v>100</v>
      </c>
      <c r="K832">
        <v>100</v>
      </c>
    </row>
    <row r="833" spans="1:13" x14ac:dyDescent="0.3">
      <c r="A833">
        <v>550</v>
      </c>
      <c r="B833">
        <v>550</v>
      </c>
      <c r="C833">
        <v>550</v>
      </c>
      <c r="D833">
        <v>550</v>
      </c>
      <c r="E833">
        <v>550</v>
      </c>
      <c r="F833">
        <v>550</v>
      </c>
      <c r="G833">
        <v>550</v>
      </c>
      <c r="H833">
        <v>550</v>
      </c>
      <c r="I833">
        <v>550</v>
      </c>
      <c r="J833">
        <v>550</v>
      </c>
      <c r="K833">
        <v>550</v>
      </c>
    </row>
    <row r="834" spans="1:13" x14ac:dyDescent="0.3">
      <c r="A834">
        <v>550.66</v>
      </c>
      <c r="B834">
        <v>550.66</v>
      </c>
      <c r="C834">
        <v>550.66</v>
      </c>
      <c r="D834">
        <v>550.66</v>
      </c>
      <c r="E834">
        <v>550.66</v>
      </c>
      <c r="F834">
        <v>550.66</v>
      </c>
      <c r="G834">
        <v>550.66</v>
      </c>
      <c r="H834">
        <v>550.66</v>
      </c>
      <c r="I834">
        <v>550.66</v>
      </c>
      <c r="J834">
        <v>550.66</v>
      </c>
      <c r="K834">
        <v>550.66</v>
      </c>
    </row>
    <row r="835" spans="1:13" x14ac:dyDescent="0.3">
      <c r="A835">
        <v>100</v>
      </c>
      <c r="B835">
        <v>100</v>
      </c>
      <c r="C835">
        <v>100</v>
      </c>
      <c r="D835">
        <v>100</v>
      </c>
      <c r="E835">
        <v>100</v>
      </c>
      <c r="F835">
        <v>100</v>
      </c>
      <c r="G835">
        <v>100</v>
      </c>
      <c r="H835">
        <v>100</v>
      </c>
      <c r="I835">
        <v>100</v>
      </c>
      <c r="J835">
        <v>100</v>
      </c>
      <c r="K835">
        <v>100</v>
      </c>
    </row>
    <row r="836" spans="1:13" x14ac:dyDescent="0.3">
      <c r="A836" t="s">
        <v>40</v>
      </c>
      <c r="B836" t="s">
        <v>40</v>
      </c>
      <c r="C836" t="s">
        <v>40</v>
      </c>
      <c r="D836" t="s">
        <v>40</v>
      </c>
      <c r="E836" t="s">
        <v>40</v>
      </c>
      <c r="F836" t="s">
        <v>40</v>
      </c>
      <c r="G836" t="s">
        <v>40</v>
      </c>
      <c r="H836" t="s">
        <v>40</v>
      </c>
      <c r="I836" t="s">
        <v>40</v>
      </c>
      <c r="J836" t="s">
        <v>40</v>
      </c>
      <c r="K836" t="s">
        <v>40</v>
      </c>
    </row>
    <row r="837" spans="1:13" x14ac:dyDescent="0.3">
      <c r="A837">
        <v>2361496</v>
      </c>
      <c r="B837">
        <v>2361496</v>
      </c>
      <c r="C837">
        <v>2361496</v>
      </c>
      <c r="D837">
        <v>2361496</v>
      </c>
      <c r="E837">
        <v>2361496</v>
      </c>
      <c r="F837">
        <v>2361496</v>
      </c>
      <c r="G837">
        <v>2361496</v>
      </c>
      <c r="H837">
        <v>2361496</v>
      </c>
      <c r="I837">
        <v>2361496</v>
      </c>
      <c r="J837">
        <v>2361496</v>
      </c>
      <c r="K837">
        <v>2361496</v>
      </c>
    </row>
    <row r="838" spans="1:13" x14ac:dyDescent="0.3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</row>
    <row r="839" spans="1:13" x14ac:dyDescent="0.3">
      <c r="A839" t="s">
        <v>19</v>
      </c>
      <c r="B839" t="s">
        <v>19</v>
      </c>
      <c r="C839" t="s">
        <v>19</v>
      </c>
      <c r="D839" t="s">
        <v>19</v>
      </c>
      <c r="E839" t="s">
        <v>19</v>
      </c>
      <c r="F839" t="s">
        <v>19</v>
      </c>
      <c r="G839" t="s">
        <v>19</v>
      </c>
      <c r="H839" t="s">
        <v>19</v>
      </c>
      <c r="I839" t="s">
        <v>19</v>
      </c>
      <c r="J839" t="s">
        <v>19</v>
      </c>
      <c r="K839" t="s">
        <v>19</v>
      </c>
    </row>
    <row r="840" spans="1:13" x14ac:dyDescent="0.3">
      <c r="A840" t="s">
        <v>28</v>
      </c>
      <c r="B840" t="s">
        <v>28</v>
      </c>
      <c r="C840" t="s">
        <v>28</v>
      </c>
      <c r="D840" t="s">
        <v>28</v>
      </c>
      <c r="E840" t="s">
        <v>28</v>
      </c>
      <c r="F840" t="s">
        <v>28</v>
      </c>
      <c r="G840" t="s">
        <v>28</v>
      </c>
      <c r="H840" t="s">
        <v>28</v>
      </c>
      <c r="I840" t="s">
        <v>28</v>
      </c>
      <c r="J840" t="s">
        <v>28</v>
      </c>
      <c r="K840" t="s">
        <v>28</v>
      </c>
    </row>
    <row r="841" spans="1:13" x14ac:dyDescent="0.3">
      <c r="A841" t="s">
        <v>15</v>
      </c>
      <c r="B841" t="s">
        <v>15</v>
      </c>
      <c r="C841" t="s">
        <v>15</v>
      </c>
      <c r="D841" t="s">
        <v>15</v>
      </c>
      <c r="E841" t="s">
        <v>15</v>
      </c>
      <c r="F841" t="s">
        <v>15</v>
      </c>
      <c r="G841" t="s">
        <v>15</v>
      </c>
      <c r="H841" t="s">
        <v>15</v>
      </c>
      <c r="I841" t="s">
        <v>15</v>
      </c>
      <c r="J841" t="s">
        <v>15</v>
      </c>
      <c r="K841" t="s">
        <v>15</v>
      </c>
      <c r="L841" t="s">
        <v>16</v>
      </c>
      <c r="M841" t="s">
        <v>17</v>
      </c>
    </row>
    <row r="842" spans="1:13" x14ac:dyDescent="0.3">
      <c r="A842">
        <v>543.64</v>
      </c>
      <c r="B842">
        <v>543.64</v>
      </c>
      <c r="C842">
        <v>543.64</v>
      </c>
      <c r="D842">
        <v>543.64</v>
      </c>
      <c r="E842">
        <v>543.64</v>
      </c>
      <c r="F842">
        <v>543.64</v>
      </c>
      <c r="G842">
        <v>543.64</v>
      </c>
      <c r="H842">
        <v>543.64</v>
      </c>
      <c r="I842">
        <v>543.64</v>
      </c>
      <c r="J842">
        <v>543.64</v>
      </c>
      <c r="K842">
        <v>543.64</v>
      </c>
    </row>
    <row r="843" spans="1:13" x14ac:dyDescent="0.3">
      <c r="A843">
        <v>-0.54</v>
      </c>
      <c r="B843">
        <v>-0.54</v>
      </c>
      <c r="C843">
        <v>-0.54</v>
      </c>
      <c r="D843">
        <v>-0.54</v>
      </c>
      <c r="E843">
        <v>-0.54</v>
      </c>
      <c r="F843">
        <v>-0.54</v>
      </c>
      <c r="G843">
        <v>-0.54</v>
      </c>
      <c r="H843">
        <v>-0.54</v>
      </c>
      <c r="I843">
        <v>-0.54</v>
      </c>
      <c r="J843">
        <v>-0.54</v>
      </c>
      <c r="K843">
        <v>-0.54</v>
      </c>
    </row>
    <row r="844" spans="1:13" x14ac:dyDescent="0.3">
      <c r="A844">
        <v>100</v>
      </c>
      <c r="B844">
        <v>100</v>
      </c>
      <c r="C844">
        <v>100</v>
      </c>
      <c r="D844">
        <v>100</v>
      </c>
      <c r="E844">
        <v>100</v>
      </c>
      <c r="F844">
        <v>100</v>
      </c>
      <c r="G844">
        <v>100</v>
      </c>
      <c r="H844">
        <v>100</v>
      </c>
      <c r="I844">
        <v>100</v>
      </c>
      <c r="J844">
        <v>100</v>
      </c>
      <c r="K844">
        <v>100</v>
      </c>
    </row>
    <row r="845" spans="1:13" x14ac:dyDescent="0.3">
      <c r="A845">
        <v>543.5</v>
      </c>
      <c r="B845">
        <v>543.5</v>
      </c>
      <c r="C845">
        <v>543.5</v>
      </c>
      <c r="D845">
        <v>543.5</v>
      </c>
      <c r="E845">
        <v>543.5</v>
      </c>
      <c r="F845">
        <v>543.5</v>
      </c>
      <c r="G845">
        <v>543.5</v>
      </c>
      <c r="H845">
        <v>543.5</v>
      </c>
      <c r="I845">
        <v>543.5</v>
      </c>
      <c r="J845">
        <v>543.5</v>
      </c>
      <c r="K845">
        <v>543.5</v>
      </c>
    </row>
    <row r="846" spans="1:13" x14ac:dyDescent="0.3">
      <c r="A846">
        <v>543.99</v>
      </c>
      <c r="B846">
        <v>543.99</v>
      </c>
      <c r="C846">
        <v>543.99</v>
      </c>
      <c r="D846">
        <v>543.99</v>
      </c>
      <c r="E846">
        <v>543.99</v>
      </c>
      <c r="F846">
        <v>543.99</v>
      </c>
      <c r="G846">
        <v>543.99</v>
      </c>
      <c r="H846">
        <v>543.99</v>
      </c>
      <c r="I846">
        <v>543.99</v>
      </c>
      <c r="J846">
        <v>543.99</v>
      </c>
      <c r="K846">
        <v>543.99</v>
      </c>
    </row>
    <row r="847" spans="1:13" x14ac:dyDescent="0.3">
      <c r="A847">
        <v>100</v>
      </c>
      <c r="B847">
        <v>100</v>
      </c>
      <c r="C847">
        <v>100</v>
      </c>
      <c r="D847">
        <v>100</v>
      </c>
      <c r="E847">
        <v>100</v>
      </c>
      <c r="F847">
        <v>100</v>
      </c>
      <c r="G847">
        <v>100</v>
      </c>
      <c r="H847">
        <v>100</v>
      </c>
      <c r="I847">
        <v>100</v>
      </c>
      <c r="J847">
        <v>100</v>
      </c>
      <c r="K847">
        <v>100</v>
      </c>
    </row>
    <row r="848" spans="1:13" x14ac:dyDescent="0.3">
      <c r="A848" t="s">
        <v>29</v>
      </c>
      <c r="B848" t="s">
        <v>29</v>
      </c>
      <c r="C848" t="s">
        <v>29</v>
      </c>
      <c r="D848" t="s">
        <v>29</v>
      </c>
      <c r="E848" t="s">
        <v>29</v>
      </c>
      <c r="F848" t="s">
        <v>29</v>
      </c>
      <c r="G848" t="s">
        <v>29</v>
      </c>
      <c r="H848" t="s">
        <v>29</v>
      </c>
      <c r="I848" t="s">
        <v>29</v>
      </c>
      <c r="J848" t="s">
        <v>29</v>
      </c>
      <c r="K848" t="s">
        <v>29</v>
      </c>
    </row>
    <row r="849" spans="1:13" x14ac:dyDescent="0.3">
      <c r="A849">
        <v>4200852</v>
      </c>
      <c r="B849">
        <v>4200852</v>
      </c>
      <c r="C849">
        <v>4200852</v>
      </c>
      <c r="D849">
        <v>4200852</v>
      </c>
      <c r="E849">
        <v>4200852</v>
      </c>
      <c r="F849">
        <v>4200852</v>
      </c>
      <c r="G849">
        <v>4200852</v>
      </c>
      <c r="H849">
        <v>4200852</v>
      </c>
      <c r="I849">
        <v>4200852</v>
      </c>
      <c r="J849">
        <v>4200852</v>
      </c>
      <c r="K849">
        <v>4200852</v>
      </c>
    </row>
    <row r="850" spans="1:13" x14ac:dyDescent="0.3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</row>
    <row r="851" spans="1:13" x14ac:dyDescent="0.3">
      <c r="A851" t="s">
        <v>19</v>
      </c>
      <c r="B851" t="s">
        <v>19</v>
      </c>
      <c r="C851" t="s">
        <v>19</v>
      </c>
      <c r="D851" t="s">
        <v>19</v>
      </c>
      <c r="E851" t="s">
        <v>19</v>
      </c>
      <c r="F851" t="s">
        <v>19</v>
      </c>
      <c r="G851" t="s">
        <v>19</v>
      </c>
      <c r="H851" t="s">
        <v>19</v>
      </c>
      <c r="I851" t="s">
        <v>19</v>
      </c>
      <c r="J851" t="s">
        <v>19</v>
      </c>
      <c r="K851" t="s">
        <v>19</v>
      </c>
    </row>
    <row r="852" spans="1:13" x14ac:dyDescent="0.3">
      <c r="A852" t="s">
        <v>20</v>
      </c>
      <c r="B852" t="s">
        <v>20</v>
      </c>
      <c r="C852" t="s">
        <v>20</v>
      </c>
      <c r="D852" t="s">
        <v>20</v>
      </c>
      <c r="E852" t="s">
        <v>20</v>
      </c>
      <c r="F852" t="s">
        <v>20</v>
      </c>
      <c r="G852" t="s">
        <v>20</v>
      </c>
      <c r="H852" t="s">
        <v>20</v>
      </c>
      <c r="I852" t="s">
        <v>20</v>
      </c>
      <c r="J852" t="s">
        <v>20</v>
      </c>
      <c r="K852" t="s">
        <v>20</v>
      </c>
    </row>
    <row r="853" spans="1:13" x14ac:dyDescent="0.3">
      <c r="A853" t="s">
        <v>15</v>
      </c>
      <c r="B853" t="s">
        <v>15</v>
      </c>
      <c r="C853" t="s">
        <v>15</v>
      </c>
      <c r="D853" t="s">
        <v>15</v>
      </c>
      <c r="E853" t="s">
        <v>15</v>
      </c>
      <c r="F853" t="s">
        <v>15</v>
      </c>
      <c r="G853" t="s">
        <v>15</v>
      </c>
      <c r="H853" t="s">
        <v>15</v>
      </c>
      <c r="I853" t="s">
        <v>15</v>
      </c>
      <c r="J853" t="s">
        <v>15</v>
      </c>
      <c r="K853" t="s">
        <v>15</v>
      </c>
      <c r="L853" t="s">
        <v>16</v>
      </c>
      <c r="M853" t="s">
        <v>17</v>
      </c>
    </row>
    <row r="854" spans="1:13" x14ac:dyDescent="0.3">
      <c r="A854">
        <v>181.99</v>
      </c>
      <c r="B854">
        <v>181.99</v>
      </c>
      <c r="C854">
        <v>181.99</v>
      </c>
      <c r="D854">
        <v>181.99</v>
      </c>
      <c r="E854">
        <v>181.99</v>
      </c>
      <c r="F854">
        <v>181.99</v>
      </c>
      <c r="G854">
        <v>181.99</v>
      </c>
      <c r="H854">
        <v>181.99</v>
      </c>
      <c r="I854">
        <v>181.99</v>
      </c>
      <c r="J854">
        <v>181.99</v>
      </c>
      <c r="K854">
        <v>181.99</v>
      </c>
    </row>
    <row r="855" spans="1:13" x14ac:dyDescent="0.3">
      <c r="A855">
        <v>0.3</v>
      </c>
      <c r="B855">
        <v>0.3</v>
      </c>
      <c r="C855">
        <v>0.3</v>
      </c>
      <c r="D855">
        <v>0.3</v>
      </c>
      <c r="E855">
        <v>0.3</v>
      </c>
      <c r="F855">
        <v>0.3</v>
      </c>
      <c r="G855">
        <v>0.3</v>
      </c>
      <c r="H855">
        <v>0.3</v>
      </c>
      <c r="I855">
        <v>0.3</v>
      </c>
      <c r="J855">
        <v>0.3</v>
      </c>
      <c r="K855">
        <v>0.3</v>
      </c>
    </row>
    <row r="856" spans="1:13" x14ac:dyDescent="0.3">
      <c r="A856">
        <v>100</v>
      </c>
      <c r="B856">
        <v>100</v>
      </c>
      <c r="C856">
        <v>100</v>
      </c>
      <c r="D856">
        <v>100</v>
      </c>
      <c r="E856">
        <v>100</v>
      </c>
      <c r="F856">
        <v>100</v>
      </c>
      <c r="G856">
        <v>100</v>
      </c>
      <c r="H856">
        <v>100</v>
      </c>
      <c r="I856">
        <v>100</v>
      </c>
      <c r="J856">
        <v>100</v>
      </c>
      <c r="K856">
        <v>100</v>
      </c>
    </row>
    <row r="857" spans="1:13" x14ac:dyDescent="0.3">
      <c r="A857">
        <v>181.14</v>
      </c>
      <c r="B857">
        <v>181.14</v>
      </c>
      <c r="C857">
        <v>181.14</v>
      </c>
      <c r="D857">
        <v>181.14</v>
      </c>
      <c r="E857">
        <v>181.14</v>
      </c>
      <c r="F857">
        <v>181.14</v>
      </c>
      <c r="G857">
        <v>181.14</v>
      </c>
      <c r="H857">
        <v>181.14</v>
      </c>
      <c r="I857">
        <v>181.14</v>
      </c>
      <c r="J857">
        <v>181.14</v>
      </c>
      <c r="K857">
        <v>181.14</v>
      </c>
    </row>
    <row r="858" spans="1:13" x14ac:dyDescent="0.3">
      <c r="A858">
        <v>183.39</v>
      </c>
      <c r="B858">
        <v>183.39</v>
      </c>
      <c r="C858">
        <v>183.39</v>
      </c>
      <c r="D858">
        <v>183.39</v>
      </c>
      <c r="E858">
        <v>183.39</v>
      </c>
      <c r="F858">
        <v>183.39</v>
      </c>
      <c r="G858">
        <v>183.39</v>
      </c>
      <c r="H858">
        <v>183.39</v>
      </c>
      <c r="I858">
        <v>183.39</v>
      </c>
      <c r="J858">
        <v>183.39</v>
      </c>
      <c r="K858">
        <v>183.39</v>
      </c>
    </row>
    <row r="859" spans="1:13" x14ac:dyDescent="0.3">
      <c r="A859">
        <v>200</v>
      </c>
      <c r="B859">
        <v>200</v>
      </c>
      <c r="C859">
        <v>200</v>
      </c>
      <c r="D859">
        <v>200</v>
      </c>
      <c r="E859">
        <v>200</v>
      </c>
      <c r="F859">
        <v>200</v>
      </c>
      <c r="G859">
        <v>200</v>
      </c>
      <c r="H859">
        <v>200</v>
      </c>
      <c r="I859">
        <v>200</v>
      </c>
      <c r="J859">
        <v>200</v>
      </c>
      <c r="K859">
        <v>200</v>
      </c>
    </row>
    <row r="860" spans="1:13" x14ac:dyDescent="0.3">
      <c r="A860" t="s">
        <v>24</v>
      </c>
      <c r="B860" t="s">
        <v>24</v>
      </c>
      <c r="C860" t="s">
        <v>24</v>
      </c>
      <c r="D860" t="s">
        <v>24</v>
      </c>
      <c r="E860" t="s">
        <v>24</v>
      </c>
      <c r="F860" t="s">
        <v>24</v>
      </c>
      <c r="G860" t="s">
        <v>24</v>
      </c>
      <c r="H860" t="s">
        <v>24</v>
      </c>
      <c r="I860" t="s">
        <v>24</v>
      </c>
      <c r="J860" t="s">
        <v>24</v>
      </c>
      <c r="K860" t="s">
        <v>24</v>
      </c>
    </row>
    <row r="861" spans="1:13" x14ac:dyDescent="0.3">
      <c r="A861">
        <v>2979316</v>
      </c>
      <c r="B861">
        <v>2979316</v>
      </c>
      <c r="C861">
        <v>2979316</v>
      </c>
      <c r="D861">
        <v>2979316</v>
      </c>
      <c r="E861">
        <v>2979316</v>
      </c>
      <c r="F861">
        <v>2979316</v>
      </c>
      <c r="G861">
        <v>2979316</v>
      </c>
      <c r="H861">
        <v>2979316</v>
      </c>
      <c r="I861">
        <v>2979316</v>
      </c>
      <c r="J861">
        <v>2979316</v>
      </c>
      <c r="K861">
        <v>2979316</v>
      </c>
    </row>
    <row r="862" spans="1:13" x14ac:dyDescent="0.3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</row>
    <row r="863" spans="1:13" x14ac:dyDescent="0.3">
      <c r="A863" t="s">
        <v>19</v>
      </c>
      <c r="B863" t="s">
        <v>19</v>
      </c>
      <c r="C863" t="s">
        <v>19</v>
      </c>
      <c r="D863" t="s">
        <v>19</v>
      </c>
      <c r="E863" t="s">
        <v>19</v>
      </c>
      <c r="F863" t="s">
        <v>19</v>
      </c>
      <c r="G863" t="s">
        <v>19</v>
      </c>
      <c r="H863" t="s">
        <v>19</v>
      </c>
      <c r="I863" t="s">
        <v>19</v>
      </c>
      <c r="J863" t="s">
        <v>19</v>
      </c>
      <c r="K863" t="s">
        <v>19</v>
      </c>
    </row>
    <row r="864" spans="1:13" x14ac:dyDescent="0.3">
      <c r="A864" t="s">
        <v>20</v>
      </c>
      <c r="B864" t="s">
        <v>20</v>
      </c>
      <c r="C864" t="s">
        <v>20</v>
      </c>
      <c r="D864" t="s">
        <v>20</v>
      </c>
      <c r="E864" t="s">
        <v>20</v>
      </c>
      <c r="F864" t="s">
        <v>20</v>
      </c>
      <c r="G864" t="s">
        <v>20</v>
      </c>
      <c r="H864" t="s">
        <v>20</v>
      </c>
      <c r="I864" t="s">
        <v>20</v>
      </c>
      <c r="J864" t="s">
        <v>20</v>
      </c>
      <c r="K864" t="s">
        <v>20</v>
      </c>
    </row>
    <row r="865" spans="1:13" x14ac:dyDescent="0.3">
      <c r="A865" t="s">
        <v>15</v>
      </c>
      <c r="B865" t="s">
        <v>15</v>
      </c>
      <c r="C865" t="s">
        <v>15</v>
      </c>
      <c r="D865" t="s">
        <v>15</v>
      </c>
      <c r="E865" t="s">
        <v>15</v>
      </c>
      <c r="F865" t="s">
        <v>15</v>
      </c>
      <c r="G865" t="s">
        <v>15</v>
      </c>
      <c r="H865" t="s">
        <v>15</v>
      </c>
      <c r="I865" t="s">
        <v>15</v>
      </c>
      <c r="J865" t="s">
        <v>15</v>
      </c>
      <c r="K865" t="s">
        <v>15</v>
      </c>
      <c r="L865" t="s">
        <v>16</v>
      </c>
      <c r="M865" t="s">
        <v>17</v>
      </c>
    </row>
    <row r="866" spans="1:13" x14ac:dyDescent="0.3">
      <c r="A866">
        <v>448.29</v>
      </c>
      <c r="B866">
        <v>448.29</v>
      </c>
      <c r="C866">
        <v>448.29</v>
      </c>
      <c r="D866">
        <v>448.29</v>
      </c>
      <c r="E866">
        <v>448.29</v>
      </c>
      <c r="F866">
        <v>448.29</v>
      </c>
      <c r="G866">
        <v>448.29</v>
      </c>
      <c r="H866">
        <v>448.29</v>
      </c>
      <c r="I866">
        <v>448.29</v>
      </c>
      <c r="J866">
        <v>448.29</v>
      </c>
      <c r="K866">
        <v>448.29</v>
      </c>
    </row>
    <row r="867" spans="1:13" x14ac:dyDescent="0.3">
      <c r="A867">
        <v>-0.79</v>
      </c>
      <c r="B867">
        <v>-0.79</v>
      </c>
      <c r="C867">
        <v>-0.79</v>
      </c>
      <c r="D867">
        <v>-0.79</v>
      </c>
      <c r="E867">
        <v>-0.79</v>
      </c>
      <c r="F867">
        <v>-0.79</v>
      </c>
      <c r="G867">
        <v>-0.79</v>
      </c>
      <c r="H867">
        <v>-0.79</v>
      </c>
      <c r="I867">
        <v>-0.79</v>
      </c>
      <c r="J867">
        <v>-0.79</v>
      </c>
      <c r="K867">
        <v>-0.79</v>
      </c>
    </row>
    <row r="868" spans="1:13" x14ac:dyDescent="0.3">
      <c r="A868">
        <v>200</v>
      </c>
      <c r="B868">
        <v>200</v>
      </c>
      <c r="C868">
        <v>200</v>
      </c>
      <c r="D868">
        <v>200</v>
      </c>
      <c r="E868">
        <v>200</v>
      </c>
      <c r="F868">
        <v>200</v>
      </c>
      <c r="G868">
        <v>200</v>
      </c>
      <c r="H868">
        <v>200</v>
      </c>
      <c r="I868">
        <v>200</v>
      </c>
      <c r="J868">
        <v>200</v>
      </c>
      <c r="K868">
        <v>200</v>
      </c>
    </row>
    <row r="869" spans="1:13" x14ac:dyDescent="0.3">
      <c r="A869">
        <v>447.5</v>
      </c>
      <c r="B869">
        <v>447.5</v>
      </c>
      <c r="C869">
        <v>447.5</v>
      </c>
      <c r="D869">
        <v>447.5</v>
      </c>
      <c r="E869">
        <v>447.5</v>
      </c>
      <c r="F869">
        <v>447.5</v>
      </c>
      <c r="G869">
        <v>447.5</v>
      </c>
      <c r="H869">
        <v>447.5</v>
      </c>
      <c r="I869">
        <v>447.5</v>
      </c>
      <c r="J869">
        <v>447.5</v>
      </c>
      <c r="K869">
        <v>447.5</v>
      </c>
    </row>
    <row r="870" spans="1:13" x14ac:dyDescent="0.3">
      <c r="A870">
        <v>458</v>
      </c>
      <c r="B870">
        <v>458</v>
      </c>
      <c r="C870">
        <v>458</v>
      </c>
      <c r="D870">
        <v>458</v>
      </c>
      <c r="E870">
        <v>458</v>
      </c>
      <c r="F870">
        <v>458</v>
      </c>
      <c r="G870">
        <v>458</v>
      </c>
      <c r="H870">
        <v>458</v>
      </c>
      <c r="I870">
        <v>458</v>
      </c>
      <c r="J870">
        <v>458</v>
      </c>
      <c r="K870">
        <v>458</v>
      </c>
    </row>
    <row r="871" spans="1:13" x14ac:dyDescent="0.3">
      <c r="A871">
        <v>200</v>
      </c>
      <c r="B871">
        <v>200</v>
      </c>
      <c r="C871">
        <v>200</v>
      </c>
      <c r="D871">
        <v>200</v>
      </c>
      <c r="E871">
        <v>200</v>
      </c>
      <c r="F871">
        <v>200</v>
      </c>
      <c r="G871">
        <v>200</v>
      </c>
      <c r="H871">
        <v>200</v>
      </c>
      <c r="I871">
        <v>200</v>
      </c>
      <c r="J871">
        <v>200</v>
      </c>
      <c r="K871">
        <v>200</v>
      </c>
    </row>
    <row r="872" spans="1:13" x14ac:dyDescent="0.3">
      <c r="A872" t="s">
        <v>40</v>
      </c>
      <c r="B872" t="s">
        <v>40</v>
      </c>
      <c r="C872" t="s">
        <v>40</v>
      </c>
      <c r="D872" t="s">
        <v>40</v>
      </c>
      <c r="E872" t="s">
        <v>40</v>
      </c>
      <c r="F872" t="s">
        <v>40</v>
      </c>
      <c r="G872" t="s">
        <v>40</v>
      </c>
      <c r="H872" t="s">
        <v>40</v>
      </c>
      <c r="I872" t="s">
        <v>40</v>
      </c>
      <c r="J872" t="s">
        <v>40</v>
      </c>
      <c r="K872" t="s">
        <v>40</v>
      </c>
    </row>
    <row r="873" spans="1:13" x14ac:dyDescent="0.3">
      <c r="A873">
        <v>615216</v>
      </c>
      <c r="B873">
        <v>615216</v>
      </c>
      <c r="C873">
        <v>615216</v>
      </c>
      <c r="D873">
        <v>615216</v>
      </c>
      <c r="E873">
        <v>615216</v>
      </c>
      <c r="F873">
        <v>615216</v>
      </c>
      <c r="G873">
        <v>615216</v>
      </c>
      <c r="H873">
        <v>615216</v>
      </c>
      <c r="I873">
        <v>615216</v>
      </c>
      <c r="J873">
        <v>615216</v>
      </c>
      <c r="K873">
        <v>615216</v>
      </c>
    </row>
    <row r="874" spans="1:13" x14ac:dyDescent="0.3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</row>
    <row r="875" spans="1:13" x14ac:dyDescent="0.3">
      <c r="A875" t="s">
        <v>19</v>
      </c>
      <c r="B875" t="s">
        <v>19</v>
      </c>
      <c r="C875" t="s">
        <v>19</v>
      </c>
      <c r="D875" t="s">
        <v>19</v>
      </c>
      <c r="E875" t="s">
        <v>19</v>
      </c>
      <c r="F875" t="s">
        <v>19</v>
      </c>
      <c r="G875" t="s">
        <v>19</v>
      </c>
      <c r="H875" t="s">
        <v>19</v>
      </c>
      <c r="I875" t="s">
        <v>19</v>
      </c>
      <c r="J875" t="s">
        <v>19</v>
      </c>
      <c r="K875" t="s">
        <v>19</v>
      </c>
    </row>
    <row r="876" spans="1:13" x14ac:dyDescent="0.3">
      <c r="A876" t="s">
        <v>20</v>
      </c>
      <c r="B876" t="s">
        <v>20</v>
      </c>
      <c r="C876" t="s">
        <v>20</v>
      </c>
      <c r="D876" t="s">
        <v>20</v>
      </c>
      <c r="E876" t="s">
        <v>20</v>
      </c>
      <c r="F876" t="s">
        <v>20</v>
      </c>
      <c r="G876" t="s">
        <v>20</v>
      </c>
      <c r="H876" t="s">
        <v>20</v>
      </c>
      <c r="I876" t="s">
        <v>20</v>
      </c>
      <c r="J876" t="s">
        <v>20</v>
      </c>
      <c r="K876" t="s">
        <v>20</v>
      </c>
    </row>
    <row r="877" spans="1:13" x14ac:dyDescent="0.3">
      <c r="A877" t="s">
        <v>15</v>
      </c>
      <c r="B877" t="s">
        <v>15</v>
      </c>
      <c r="C877" t="s">
        <v>15</v>
      </c>
      <c r="D877" t="s">
        <v>15</v>
      </c>
      <c r="E877" t="s">
        <v>15</v>
      </c>
      <c r="F877" t="s">
        <v>15</v>
      </c>
      <c r="G877" t="s">
        <v>15</v>
      </c>
      <c r="H877" t="s">
        <v>15</v>
      </c>
      <c r="I877" t="s">
        <v>15</v>
      </c>
      <c r="J877" t="s">
        <v>15</v>
      </c>
      <c r="K877" t="s">
        <v>15</v>
      </c>
      <c r="L877" t="s">
        <v>16</v>
      </c>
      <c r="M877" t="s">
        <v>17</v>
      </c>
    </row>
    <row r="878" spans="1:13" x14ac:dyDescent="0.3">
      <c r="A878">
        <v>282.94</v>
      </c>
      <c r="B878">
        <v>282.94</v>
      </c>
      <c r="C878">
        <v>282.94</v>
      </c>
      <c r="D878">
        <v>282.94</v>
      </c>
      <c r="E878">
        <v>282.94</v>
      </c>
      <c r="F878">
        <v>282.94</v>
      </c>
      <c r="G878">
        <v>282.94</v>
      </c>
      <c r="H878">
        <v>282.94</v>
      </c>
      <c r="I878">
        <v>282.94</v>
      </c>
      <c r="J878">
        <v>282.94</v>
      </c>
      <c r="K878">
        <v>282.94</v>
      </c>
    </row>
    <row r="879" spans="1:13" x14ac:dyDescent="0.3">
      <c r="A879">
        <v>-0.24</v>
      </c>
      <c r="B879">
        <v>-0.24</v>
      </c>
      <c r="C879">
        <v>-0.24</v>
      </c>
      <c r="D879">
        <v>-0.24</v>
      </c>
      <c r="E879">
        <v>-0.24</v>
      </c>
      <c r="F879">
        <v>-0.24</v>
      </c>
      <c r="G879">
        <v>-0.24</v>
      </c>
      <c r="H879">
        <v>-0.24</v>
      </c>
      <c r="I879">
        <v>-0.24</v>
      </c>
      <c r="J879">
        <v>-0.24</v>
      </c>
      <c r="K879">
        <v>-0.24</v>
      </c>
    </row>
    <row r="880" spans="1:13" x14ac:dyDescent="0.3">
      <c r="A880">
        <v>100</v>
      </c>
      <c r="B880">
        <v>100</v>
      </c>
      <c r="C880">
        <v>100</v>
      </c>
      <c r="D880">
        <v>100</v>
      </c>
      <c r="E880">
        <v>100</v>
      </c>
      <c r="F880">
        <v>100</v>
      </c>
      <c r="G880">
        <v>100</v>
      </c>
      <c r="H880">
        <v>100</v>
      </c>
      <c r="I880">
        <v>100</v>
      </c>
      <c r="J880">
        <v>100</v>
      </c>
      <c r="K880">
        <v>100</v>
      </c>
    </row>
    <row r="881" spans="1:13" x14ac:dyDescent="0.3">
      <c r="A881">
        <v>280.06</v>
      </c>
      <c r="B881">
        <v>280.06</v>
      </c>
      <c r="C881">
        <v>280.06</v>
      </c>
      <c r="D881">
        <v>280.06</v>
      </c>
      <c r="E881">
        <v>280.06</v>
      </c>
      <c r="F881">
        <v>280.06</v>
      </c>
      <c r="G881">
        <v>280.06</v>
      </c>
      <c r="H881">
        <v>280.06</v>
      </c>
      <c r="I881">
        <v>280.06</v>
      </c>
      <c r="J881">
        <v>280.06</v>
      </c>
      <c r="K881">
        <v>280.06</v>
      </c>
    </row>
    <row r="882" spans="1:13" x14ac:dyDescent="0.3">
      <c r="A882">
        <v>284.49</v>
      </c>
      <c r="B882">
        <v>284.49</v>
      </c>
      <c r="C882">
        <v>284.49</v>
      </c>
      <c r="D882">
        <v>284.49</v>
      </c>
      <c r="E882">
        <v>284.49</v>
      </c>
      <c r="F882">
        <v>284.49</v>
      </c>
      <c r="G882">
        <v>284.49</v>
      </c>
      <c r="H882">
        <v>284.49</v>
      </c>
      <c r="I882">
        <v>284.49</v>
      </c>
      <c r="J882">
        <v>284.49</v>
      </c>
      <c r="K882">
        <v>284.49</v>
      </c>
    </row>
    <row r="883" spans="1:13" x14ac:dyDescent="0.3">
      <c r="A883">
        <v>100</v>
      </c>
      <c r="B883">
        <v>100</v>
      </c>
      <c r="C883">
        <v>100</v>
      </c>
      <c r="D883">
        <v>100</v>
      </c>
      <c r="E883">
        <v>100</v>
      </c>
      <c r="F883">
        <v>100</v>
      </c>
      <c r="G883">
        <v>100</v>
      </c>
      <c r="H883">
        <v>100</v>
      </c>
      <c r="I883">
        <v>100</v>
      </c>
      <c r="J883">
        <v>100</v>
      </c>
      <c r="K883">
        <v>100</v>
      </c>
    </row>
    <row r="884" spans="1:13" x14ac:dyDescent="0.3">
      <c r="A884" t="s">
        <v>25</v>
      </c>
      <c r="B884" t="s">
        <v>25</v>
      </c>
      <c r="C884" t="s">
        <v>25</v>
      </c>
      <c r="D884" t="s">
        <v>25</v>
      </c>
      <c r="E884" t="s">
        <v>25</v>
      </c>
      <c r="F884" t="s">
        <v>25</v>
      </c>
      <c r="G884" t="s">
        <v>25</v>
      </c>
      <c r="H884" t="s">
        <v>25</v>
      </c>
      <c r="I884" t="s">
        <v>25</v>
      </c>
      <c r="J884" t="s">
        <v>25</v>
      </c>
      <c r="K884" t="s">
        <v>25</v>
      </c>
    </row>
    <row r="885" spans="1:13" x14ac:dyDescent="0.3">
      <c r="A885">
        <v>811423</v>
      </c>
      <c r="B885">
        <v>811423</v>
      </c>
      <c r="C885">
        <v>811423</v>
      </c>
      <c r="D885">
        <v>811423</v>
      </c>
      <c r="E885">
        <v>811423</v>
      </c>
      <c r="F885">
        <v>811423</v>
      </c>
      <c r="G885">
        <v>811423</v>
      </c>
      <c r="H885">
        <v>811423</v>
      </c>
      <c r="I885">
        <v>811423</v>
      </c>
      <c r="J885">
        <v>811423</v>
      </c>
      <c r="K885">
        <v>811423</v>
      </c>
    </row>
    <row r="886" spans="1:13" x14ac:dyDescent="0.3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</row>
    <row r="887" spans="1:13" x14ac:dyDescent="0.3">
      <c r="A887" t="s">
        <v>19</v>
      </c>
      <c r="B887" t="s">
        <v>19</v>
      </c>
      <c r="C887" t="s">
        <v>19</v>
      </c>
      <c r="D887" t="s">
        <v>19</v>
      </c>
      <c r="E887" t="s">
        <v>19</v>
      </c>
      <c r="F887" t="s">
        <v>19</v>
      </c>
      <c r="G887" t="s">
        <v>19</v>
      </c>
      <c r="H887" t="s">
        <v>19</v>
      </c>
      <c r="I887" t="s">
        <v>19</v>
      </c>
      <c r="J887" t="s">
        <v>19</v>
      </c>
      <c r="K887" t="s">
        <v>19</v>
      </c>
    </row>
    <row r="888" spans="1:13" x14ac:dyDescent="0.3">
      <c r="A888" t="s">
        <v>20</v>
      </c>
      <c r="B888" t="s">
        <v>20</v>
      </c>
      <c r="C888" t="s">
        <v>20</v>
      </c>
      <c r="D888" t="s">
        <v>20</v>
      </c>
      <c r="E888" t="s">
        <v>20</v>
      </c>
      <c r="F888" t="s">
        <v>20</v>
      </c>
      <c r="G888" t="s">
        <v>20</v>
      </c>
      <c r="H888" t="s">
        <v>20</v>
      </c>
      <c r="I888" t="s">
        <v>20</v>
      </c>
      <c r="J888" t="s">
        <v>20</v>
      </c>
      <c r="K888" t="s">
        <v>20</v>
      </c>
    </row>
    <row r="889" spans="1:13" x14ac:dyDescent="0.3">
      <c r="A889" t="s">
        <v>15</v>
      </c>
      <c r="B889" t="s">
        <v>15</v>
      </c>
      <c r="C889" t="s">
        <v>15</v>
      </c>
      <c r="D889" t="s">
        <v>15</v>
      </c>
      <c r="E889" t="s">
        <v>15</v>
      </c>
      <c r="F889" t="s">
        <v>15</v>
      </c>
      <c r="G889" t="s">
        <v>15</v>
      </c>
      <c r="H889" t="s">
        <v>15</v>
      </c>
      <c r="I889" t="s">
        <v>15</v>
      </c>
      <c r="J889" t="s">
        <v>15</v>
      </c>
      <c r="K889" t="s">
        <v>15</v>
      </c>
      <c r="L889" t="s">
        <v>16</v>
      </c>
      <c r="M889" t="s">
        <v>17</v>
      </c>
    </row>
    <row r="890" spans="1:13" x14ac:dyDescent="0.3">
      <c r="A890">
        <v>96.58</v>
      </c>
      <c r="B890">
        <v>96.58</v>
      </c>
      <c r="C890">
        <v>96.58</v>
      </c>
      <c r="D890">
        <v>96.58</v>
      </c>
      <c r="E890">
        <v>96.58</v>
      </c>
      <c r="F890">
        <v>96.58</v>
      </c>
      <c r="G890">
        <v>96.58</v>
      </c>
      <c r="H890">
        <v>96.58</v>
      </c>
      <c r="I890">
        <v>96.58</v>
      </c>
      <c r="J890">
        <v>96.58</v>
      </c>
      <c r="K890">
        <v>96.58</v>
      </c>
    </row>
    <row r="891" spans="1:13" x14ac:dyDescent="0.3">
      <c r="A891">
        <v>-0.54</v>
      </c>
      <c r="B891">
        <v>-0.54</v>
      </c>
      <c r="C891">
        <v>-0.54</v>
      </c>
      <c r="D891">
        <v>-0.54</v>
      </c>
      <c r="E891">
        <v>-0.54</v>
      </c>
      <c r="F891">
        <v>-0.54</v>
      </c>
      <c r="G891">
        <v>-0.54</v>
      </c>
      <c r="H891">
        <v>-0.54</v>
      </c>
      <c r="I891">
        <v>-0.54</v>
      </c>
      <c r="J891">
        <v>-0.54</v>
      </c>
      <c r="K891">
        <v>-0.54</v>
      </c>
    </row>
    <row r="892" spans="1:13" x14ac:dyDescent="0.3">
      <c r="A892">
        <v>100</v>
      </c>
      <c r="B892">
        <v>100</v>
      </c>
      <c r="C892">
        <v>100</v>
      </c>
      <c r="D892">
        <v>100</v>
      </c>
      <c r="E892">
        <v>100</v>
      </c>
      <c r="F892">
        <v>100</v>
      </c>
      <c r="G892">
        <v>100</v>
      </c>
      <c r="H892">
        <v>100</v>
      </c>
      <c r="I892">
        <v>100</v>
      </c>
      <c r="J892">
        <v>100</v>
      </c>
      <c r="K892">
        <v>100</v>
      </c>
    </row>
    <row r="893" spans="1:13" x14ac:dyDescent="0.3">
      <c r="A893">
        <v>95.9</v>
      </c>
      <c r="B893">
        <v>95.9</v>
      </c>
      <c r="C893">
        <v>95.9</v>
      </c>
      <c r="D893">
        <v>95.9</v>
      </c>
      <c r="E893">
        <v>95.9</v>
      </c>
      <c r="F893">
        <v>95.9</v>
      </c>
      <c r="G893">
        <v>95.9</v>
      </c>
      <c r="H893">
        <v>95.9</v>
      </c>
      <c r="I893">
        <v>95.9</v>
      </c>
      <c r="J893">
        <v>95.9</v>
      </c>
      <c r="K893">
        <v>95.9</v>
      </c>
    </row>
    <row r="894" spans="1:13" x14ac:dyDescent="0.3">
      <c r="A894">
        <v>96.81</v>
      </c>
      <c r="B894">
        <v>96.81</v>
      </c>
      <c r="C894">
        <v>96.81</v>
      </c>
      <c r="D894">
        <v>96.81</v>
      </c>
      <c r="E894">
        <v>96.81</v>
      </c>
      <c r="F894">
        <v>96.81</v>
      </c>
      <c r="G894">
        <v>96.81</v>
      </c>
      <c r="H894">
        <v>96.81</v>
      </c>
      <c r="I894">
        <v>96.81</v>
      </c>
      <c r="J894">
        <v>96.81</v>
      </c>
      <c r="K894">
        <v>96.81</v>
      </c>
    </row>
    <row r="895" spans="1:13" x14ac:dyDescent="0.3">
      <c r="A895">
        <v>100</v>
      </c>
      <c r="B895">
        <v>100</v>
      </c>
      <c r="C895">
        <v>100</v>
      </c>
      <c r="D895">
        <v>100</v>
      </c>
      <c r="E895">
        <v>100</v>
      </c>
      <c r="F895">
        <v>100</v>
      </c>
      <c r="G895">
        <v>100</v>
      </c>
      <c r="H895">
        <v>100</v>
      </c>
      <c r="I895">
        <v>100</v>
      </c>
      <c r="J895">
        <v>100</v>
      </c>
      <c r="K895">
        <v>100</v>
      </c>
    </row>
    <row r="896" spans="1:13" x14ac:dyDescent="0.3">
      <c r="A896" t="s">
        <v>50</v>
      </c>
      <c r="B896" t="s">
        <v>50</v>
      </c>
      <c r="C896" t="s">
        <v>50</v>
      </c>
      <c r="D896" t="s">
        <v>50</v>
      </c>
      <c r="E896" t="s">
        <v>50</v>
      </c>
      <c r="F896" t="s">
        <v>50</v>
      </c>
      <c r="G896" t="s">
        <v>50</v>
      </c>
      <c r="H896" t="s">
        <v>50</v>
      </c>
      <c r="I896" t="s">
        <v>50</v>
      </c>
      <c r="J896" t="s">
        <v>50</v>
      </c>
      <c r="K896" t="s">
        <v>50</v>
      </c>
    </row>
    <row r="897" spans="1:13" x14ac:dyDescent="0.3">
      <c r="A897">
        <v>1686348</v>
      </c>
      <c r="B897">
        <v>1686348</v>
      </c>
      <c r="C897">
        <v>1686348</v>
      </c>
      <c r="D897">
        <v>1686348</v>
      </c>
      <c r="E897">
        <v>1686348</v>
      </c>
      <c r="F897">
        <v>1686348</v>
      </c>
      <c r="G897">
        <v>1686348</v>
      </c>
      <c r="H897">
        <v>1686348</v>
      </c>
      <c r="I897">
        <v>1686348</v>
      </c>
      <c r="J897">
        <v>1686348</v>
      </c>
      <c r="K897">
        <v>1686348</v>
      </c>
    </row>
    <row r="898" spans="1:13" x14ac:dyDescent="0.3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</row>
    <row r="899" spans="1:13" x14ac:dyDescent="0.3">
      <c r="A899" t="s">
        <v>19</v>
      </c>
      <c r="B899" t="s">
        <v>19</v>
      </c>
      <c r="C899" t="s">
        <v>19</v>
      </c>
      <c r="D899" t="s">
        <v>19</v>
      </c>
      <c r="E899" t="s">
        <v>19</v>
      </c>
      <c r="F899" t="s">
        <v>19</v>
      </c>
      <c r="G899" t="s">
        <v>19</v>
      </c>
      <c r="H899" t="s">
        <v>19</v>
      </c>
      <c r="I899" t="s">
        <v>19</v>
      </c>
      <c r="J899" t="s">
        <v>19</v>
      </c>
      <c r="K899" t="s">
        <v>19</v>
      </c>
    </row>
    <row r="900" spans="1:13" x14ac:dyDescent="0.3">
      <c r="A900" t="s">
        <v>20</v>
      </c>
      <c r="B900" t="s">
        <v>20</v>
      </c>
      <c r="C900" t="s">
        <v>20</v>
      </c>
      <c r="D900" t="s">
        <v>20</v>
      </c>
      <c r="E900" t="s">
        <v>20</v>
      </c>
      <c r="F900" t="s">
        <v>20</v>
      </c>
      <c r="G900" t="s">
        <v>20</v>
      </c>
      <c r="H900" t="s">
        <v>20</v>
      </c>
      <c r="I900" t="s">
        <v>20</v>
      </c>
      <c r="J900" t="s">
        <v>20</v>
      </c>
      <c r="K900" t="s">
        <v>20</v>
      </c>
    </row>
    <row r="901" spans="1:13" x14ac:dyDescent="0.3">
      <c r="A901" t="s">
        <v>15</v>
      </c>
      <c r="B901" t="s">
        <v>15</v>
      </c>
      <c r="C901" t="s">
        <v>15</v>
      </c>
      <c r="D901" t="s">
        <v>15</v>
      </c>
      <c r="E901" t="s">
        <v>15</v>
      </c>
      <c r="F901" t="s">
        <v>15</v>
      </c>
      <c r="G901" t="s">
        <v>15</v>
      </c>
      <c r="H901" t="s">
        <v>15</v>
      </c>
      <c r="I901" t="s">
        <v>15</v>
      </c>
      <c r="J901" t="s">
        <v>15</v>
      </c>
      <c r="K901" t="s">
        <v>15</v>
      </c>
      <c r="L901" t="s">
        <v>16</v>
      </c>
      <c r="M901" t="s">
        <v>17</v>
      </c>
    </row>
    <row r="902" spans="1:13" x14ac:dyDescent="0.3">
      <c r="A902">
        <v>91.63</v>
      </c>
      <c r="B902">
        <v>91.63</v>
      </c>
      <c r="C902">
        <v>91.63</v>
      </c>
      <c r="D902">
        <v>91.63</v>
      </c>
      <c r="E902">
        <v>91.63</v>
      </c>
      <c r="F902">
        <v>91.63</v>
      </c>
      <c r="G902">
        <v>91.63</v>
      </c>
      <c r="H902">
        <v>91.63</v>
      </c>
      <c r="I902">
        <v>91.63</v>
      </c>
      <c r="J902">
        <v>91.63</v>
      </c>
      <c r="K902">
        <v>91.63</v>
      </c>
    </row>
    <row r="903" spans="1:13" x14ac:dyDescent="0.3">
      <c r="A903">
        <v>0.05</v>
      </c>
      <c r="B903">
        <v>0.05</v>
      </c>
      <c r="C903">
        <v>0.05</v>
      </c>
      <c r="D903">
        <v>0.05</v>
      </c>
      <c r="E903">
        <v>0.05</v>
      </c>
      <c r="F903">
        <v>0.05</v>
      </c>
      <c r="G903">
        <v>0.05</v>
      </c>
      <c r="H903">
        <v>0.05</v>
      </c>
      <c r="I903">
        <v>0.05</v>
      </c>
      <c r="J903">
        <v>0.05</v>
      </c>
      <c r="K903">
        <v>0.05</v>
      </c>
    </row>
    <row r="904" spans="1:13" x14ac:dyDescent="0.3">
      <c r="A904">
        <v>300</v>
      </c>
      <c r="B904">
        <v>300</v>
      </c>
      <c r="C904">
        <v>300</v>
      </c>
      <c r="D904">
        <v>300</v>
      </c>
      <c r="E904">
        <v>300</v>
      </c>
      <c r="F904">
        <v>300</v>
      </c>
      <c r="G904">
        <v>300</v>
      </c>
      <c r="H904">
        <v>300</v>
      </c>
      <c r="I904">
        <v>300</v>
      </c>
      <c r="J904">
        <v>300</v>
      </c>
      <c r="K904">
        <v>300</v>
      </c>
    </row>
    <row r="905" spans="1:13" x14ac:dyDescent="0.3">
      <c r="A905">
        <v>90.41</v>
      </c>
      <c r="B905">
        <v>90.41</v>
      </c>
      <c r="C905">
        <v>90.41</v>
      </c>
      <c r="D905">
        <v>90.41</v>
      </c>
      <c r="E905">
        <v>90.41</v>
      </c>
      <c r="F905">
        <v>90.41</v>
      </c>
      <c r="G905">
        <v>90.41</v>
      </c>
      <c r="H905">
        <v>90.41</v>
      </c>
      <c r="I905">
        <v>90.41</v>
      </c>
      <c r="J905">
        <v>90.41</v>
      </c>
      <c r="K905">
        <v>90.41</v>
      </c>
    </row>
    <row r="906" spans="1:13" x14ac:dyDescent="0.3">
      <c r="A906">
        <v>92.15</v>
      </c>
      <c r="B906">
        <v>92.15</v>
      </c>
      <c r="C906">
        <v>92.15</v>
      </c>
      <c r="D906">
        <v>92.15</v>
      </c>
      <c r="E906">
        <v>92.15</v>
      </c>
      <c r="F906">
        <v>92.15</v>
      </c>
      <c r="G906">
        <v>92.15</v>
      </c>
      <c r="H906">
        <v>92.15</v>
      </c>
      <c r="I906">
        <v>92.15</v>
      </c>
      <c r="J906">
        <v>92.15</v>
      </c>
      <c r="K906">
        <v>92.15</v>
      </c>
    </row>
    <row r="907" spans="1:13" x14ac:dyDescent="0.3">
      <c r="A907">
        <v>200</v>
      </c>
      <c r="B907">
        <v>200</v>
      </c>
      <c r="C907">
        <v>200</v>
      </c>
      <c r="D907">
        <v>200</v>
      </c>
      <c r="E907">
        <v>200</v>
      </c>
      <c r="F907">
        <v>200</v>
      </c>
      <c r="G907">
        <v>200</v>
      </c>
      <c r="H907">
        <v>200</v>
      </c>
      <c r="I907">
        <v>200</v>
      </c>
      <c r="J907">
        <v>200</v>
      </c>
      <c r="K907">
        <v>200</v>
      </c>
    </row>
    <row r="908" spans="1:13" x14ac:dyDescent="0.3">
      <c r="A908" t="s">
        <v>50</v>
      </c>
      <c r="B908" t="s">
        <v>50</v>
      </c>
      <c r="C908" t="s">
        <v>50</v>
      </c>
      <c r="D908" t="s">
        <v>50</v>
      </c>
      <c r="E908" t="s">
        <v>50</v>
      </c>
      <c r="F908" t="s">
        <v>50</v>
      </c>
      <c r="G908" t="s">
        <v>50</v>
      </c>
      <c r="H908" t="s">
        <v>50</v>
      </c>
      <c r="I908" t="s">
        <v>50</v>
      </c>
      <c r="J908" t="s">
        <v>50</v>
      </c>
      <c r="K908" t="s">
        <v>50</v>
      </c>
    </row>
    <row r="909" spans="1:13" x14ac:dyDescent="0.3">
      <c r="A909">
        <v>1059889</v>
      </c>
      <c r="B909">
        <v>1059889</v>
      </c>
      <c r="C909">
        <v>1059889</v>
      </c>
      <c r="D909">
        <v>1059889</v>
      </c>
      <c r="E909">
        <v>1059889</v>
      </c>
      <c r="F909">
        <v>1059889</v>
      </c>
      <c r="G909">
        <v>1059889</v>
      </c>
      <c r="H909">
        <v>1059889</v>
      </c>
      <c r="I909">
        <v>1059889</v>
      </c>
      <c r="J909">
        <v>1059889</v>
      </c>
      <c r="K909">
        <v>1059889</v>
      </c>
    </row>
    <row r="910" spans="1:13" x14ac:dyDescent="0.3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</row>
    <row r="911" spans="1:13" x14ac:dyDescent="0.3">
      <c r="A911" t="s">
        <v>19</v>
      </c>
      <c r="B911" t="s">
        <v>19</v>
      </c>
      <c r="C911" t="s">
        <v>19</v>
      </c>
      <c r="D911" t="s">
        <v>19</v>
      </c>
      <c r="E911" t="s">
        <v>19</v>
      </c>
      <c r="F911" t="s">
        <v>19</v>
      </c>
      <c r="G911" t="s">
        <v>19</v>
      </c>
      <c r="H911" t="s">
        <v>19</v>
      </c>
      <c r="I911" t="s">
        <v>19</v>
      </c>
      <c r="J911" t="s">
        <v>19</v>
      </c>
      <c r="K911" t="s">
        <v>19</v>
      </c>
    </row>
    <row r="912" spans="1:13" x14ac:dyDescent="0.3">
      <c r="A912" t="s">
        <v>20</v>
      </c>
      <c r="B912" t="s">
        <v>20</v>
      </c>
      <c r="C912" t="s">
        <v>20</v>
      </c>
      <c r="D912" t="s">
        <v>20</v>
      </c>
      <c r="E912" t="s">
        <v>20</v>
      </c>
      <c r="F912" t="s">
        <v>20</v>
      </c>
      <c r="G912" t="s">
        <v>20</v>
      </c>
      <c r="H912" t="s">
        <v>20</v>
      </c>
      <c r="I912" t="s">
        <v>20</v>
      </c>
      <c r="J912" t="s">
        <v>20</v>
      </c>
      <c r="K912" t="s">
        <v>20</v>
      </c>
    </row>
    <row r="913" spans="1:13" x14ac:dyDescent="0.3">
      <c r="A913" t="s">
        <v>15</v>
      </c>
      <c r="B913" t="s">
        <v>15</v>
      </c>
      <c r="C913" t="s">
        <v>15</v>
      </c>
      <c r="D913" t="s">
        <v>15</v>
      </c>
      <c r="E913" t="s">
        <v>15</v>
      </c>
      <c r="F913" t="s">
        <v>15</v>
      </c>
      <c r="G913" t="s">
        <v>15</v>
      </c>
      <c r="H913" t="s">
        <v>15</v>
      </c>
      <c r="I913" t="s">
        <v>15</v>
      </c>
      <c r="J913" t="s">
        <v>15</v>
      </c>
      <c r="K913" t="s">
        <v>15</v>
      </c>
      <c r="L913" t="s">
        <v>16</v>
      </c>
      <c r="M913" t="s">
        <v>17</v>
      </c>
    </row>
    <row r="914" spans="1:13" x14ac:dyDescent="0.3">
      <c r="A914">
        <v>269.44</v>
      </c>
      <c r="B914">
        <v>269.44</v>
      </c>
      <c r="C914">
        <v>269.44</v>
      </c>
      <c r="D914">
        <v>269.44</v>
      </c>
      <c r="E914">
        <v>269.44</v>
      </c>
      <c r="F914">
        <v>269.44</v>
      </c>
      <c r="G914">
        <v>269.44</v>
      </c>
      <c r="H914">
        <v>269.44</v>
      </c>
      <c r="I914">
        <v>269.44</v>
      </c>
      <c r="J914">
        <v>269.44</v>
      </c>
      <c r="K914">
        <v>269.44</v>
      </c>
    </row>
    <row r="915" spans="1:13" x14ac:dyDescent="0.3">
      <c r="A915">
        <v>-0.37</v>
      </c>
      <c r="B915">
        <v>-0.37</v>
      </c>
      <c r="C915">
        <v>-0.37</v>
      </c>
      <c r="D915">
        <v>-0.37</v>
      </c>
      <c r="E915">
        <v>-0.37</v>
      </c>
      <c r="F915">
        <v>-0.37</v>
      </c>
      <c r="G915">
        <v>-0.37</v>
      </c>
      <c r="H915">
        <v>-0.37</v>
      </c>
      <c r="I915">
        <v>-0.37</v>
      </c>
      <c r="J915">
        <v>-0.37</v>
      </c>
      <c r="K915">
        <v>-0.37</v>
      </c>
    </row>
    <row r="916" spans="1:13" x14ac:dyDescent="0.3">
      <c r="A916">
        <v>100</v>
      </c>
      <c r="B916">
        <v>100</v>
      </c>
      <c r="C916">
        <v>100</v>
      </c>
      <c r="D916">
        <v>100</v>
      </c>
      <c r="E916">
        <v>100</v>
      </c>
      <c r="F916">
        <v>100</v>
      </c>
      <c r="G916">
        <v>100</v>
      </c>
      <c r="H916">
        <v>100</v>
      </c>
      <c r="I916">
        <v>100</v>
      </c>
      <c r="J916">
        <v>100</v>
      </c>
      <c r="K916">
        <v>100</v>
      </c>
    </row>
    <row r="917" spans="1:13" x14ac:dyDescent="0.3">
      <c r="A917">
        <v>269.75</v>
      </c>
      <c r="B917">
        <v>269.75</v>
      </c>
      <c r="C917">
        <v>269.75</v>
      </c>
      <c r="D917">
        <v>269.75</v>
      </c>
      <c r="E917">
        <v>269.75</v>
      </c>
      <c r="F917">
        <v>269.75</v>
      </c>
      <c r="G917">
        <v>269.75</v>
      </c>
      <c r="H917">
        <v>269.75</v>
      </c>
      <c r="I917">
        <v>269.75</v>
      </c>
      <c r="J917">
        <v>269.75</v>
      </c>
      <c r="K917">
        <v>269.75</v>
      </c>
    </row>
    <row r="918" spans="1:13" x14ac:dyDescent="0.3">
      <c r="A918">
        <v>269.8</v>
      </c>
      <c r="B918">
        <v>269.8</v>
      </c>
      <c r="C918">
        <v>269.8</v>
      </c>
      <c r="D918">
        <v>269.8</v>
      </c>
      <c r="E918">
        <v>269.8</v>
      </c>
      <c r="F918">
        <v>269.8</v>
      </c>
      <c r="G918">
        <v>269.8</v>
      </c>
      <c r="H918">
        <v>269.8</v>
      </c>
      <c r="I918">
        <v>269.8</v>
      </c>
      <c r="J918">
        <v>269.8</v>
      </c>
      <c r="K918">
        <v>269.8</v>
      </c>
    </row>
    <row r="919" spans="1:13" x14ac:dyDescent="0.3">
      <c r="A919">
        <v>1000</v>
      </c>
      <c r="B919">
        <v>1000</v>
      </c>
      <c r="C919">
        <v>1000</v>
      </c>
      <c r="D919">
        <v>1000</v>
      </c>
      <c r="E919">
        <v>1000</v>
      </c>
      <c r="F919">
        <v>1000</v>
      </c>
      <c r="G919">
        <v>1000</v>
      </c>
      <c r="H919">
        <v>1000</v>
      </c>
      <c r="I919">
        <v>1000</v>
      </c>
      <c r="J919">
        <v>1000</v>
      </c>
      <c r="K919">
        <v>1000</v>
      </c>
    </row>
    <row r="920" spans="1:13" x14ac:dyDescent="0.3">
      <c r="A920" t="s">
        <v>25</v>
      </c>
      <c r="B920" t="s">
        <v>25</v>
      </c>
      <c r="C920" t="s">
        <v>25</v>
      </c>
      <c r="D920" t="s">
        <v>25</v>
      </c>
      <c r="E920" t="s">
        <v>25</v>
      </c>
      <c r="F920" t="s">
        <v>25</v>
      </c>
      <c r="G920" t="s">
        <v>25</v>
      </c>
      <c r="H920" t="s">
        <v>25</v>
      </c>
      <c r="I920" t="s">
        <v>25</v>
      </c>
      <c r="J920" t="s">
        <v>25</v>
      </c>
      <c r="K920" t="s">
        <v>25</v>
      </c>
    </row>
    <row r="921" spans="1:13" x14ac:dyDescent="0.3">
      <c r="A921">
        <v>7776602</v>
      </c>
      <c r="B921">
        <v>7776602</v>
      </c>
      <c r="C921">
        <v>7776602</v>
      </c>
      <c r="D921">
        <v>7776602</v>
      </c>
      <c r="E921">
        <v>7776602</v>
      </c>
      <c r="F921">
        <v>7776602</v>
      </c>
      <c r="G921">
        <v>7776602</v>
      </c>
      <c r="H921">
        <v>7776602</v>
      </c>
      <c r="I921">
        <v>7776602</v>
      </c>
      <c r="J921">
        <v>7776602</v>
      </c>
      <c r="K921">
        <v>7776602</v>
      </c>
    </row>
    <row r="922" spans="1:13" x14ac:dyDescent="0.3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</row>
    <row r="923" spans="1:13" x14ac:dyDescent="0.3">
      <c r="A923" t="s">
        <v>19</v>
      </c>
      <c r="B923" t="s">
        <v>19</v>
      </c>
      <c r="C923" t="s">
        <v>19</v>
      </c>
      <c r="D923" t="s">
        <v>19</v>
      </c>
      <c r="E923" t="s">
        <v>19</v>
      </c>
      <c r="F923" t="s">
        <v>19</v>
      </c>
      <c r="G923" t="s">
        <v>19</v>
      </c>
      <c r="H923" t="s">
        <v>19</v>
      </c>
      <c r="I923" t="s">
        <v>19</v>
      </c>
      <c r="J923" t="s">
        <v>19</v>
      </c>
      <c r="K923" t="s">
        <v>19</v>
      </c>
    </row>
    <row r="924" spans="1:13" x14ac:dyDescent="0.3">
      <c r="A924" t="s">
        <v>20</v>
      </c>
      <c r="B924" t="s">
        <v>20</v>
      </c>
      <c r="C924" t="s">
        <v>20</v>
      </c>
      <c r="D924" t="s">
        <v>20</v>
      </c>
      <c r="E924" t="s">
        <v>20</v>
      </c>
      <c r="F924" t="s">
        <v>20</v>
      </c>
      <c r="G924" t="s">
        <v>20</v>
      </c>
      <c r="H924" t="s">
        <v>20</v>
      </c>
      <c r="I924" t="s">
        <v>20</v>
      </c>
      <c r="J924" t="s">
        <v>20</v>
      </c>
      <c r="K924" t="s">
        <v>20</v>
      </c>
    </row>
    <row r="925" spans="1:13" x14ac:dyDescent="0.3">
      <c r="A925" t="s">
        <v>15</v>
      </c>
      <c r="B925" t="s">
        <v>15</v>
      </c>
      <c r="C925" t="s">
        <v>15</v>
      </c>
      <c r="D925" t="s">
        <v>15</v>
      </c>
      <c r="E925" t="s">
        <v>15</v>
      </c>
      <c r="F925" t="s">
        <v>15</v>
      </c>
      <c r="G925" t="s">
        <v>15</v>
      </c>
      <c r="H925" t="s">
        <v>15</v>
      </c>
      <c r="I925" t="s">
        <v>15</v>
      </c>
      <c r="J925" t="s">
        <v>15</v>
      </c>
      <c r="K925" t="s">
        <v>15</v>
      </c>
      <c r="L925" t="s">
        <v>16</v>
      </c>
      <c r="M925" t="s">
        <v>17</v>
      </c>
    </row>
    <row r="926" spans="1:13" x14ac:dyDescent="0.3">
      <c r="A926">
        <v>148.30000000000001</v>
      </c>
      <c r="B926">
        <v>148.30000000000001</v>
      </c>
      <c r="C926">
        <v>148.30000000000001</v>
      </c>
      <c r="D926">
        <v>148.30000000000001</v>
      </c>
      <c r="E926">
        <v>148.30000000000001</v>
      </c>
      <c r="F926">
        <v>148.30000000000001</v>
      </c>
      <c r="G926">
        <v>148.30000000000001</v>
      </c>
      <c r="H926">
        <v>148.30000000000001</v>
      </c>
      <c r="I926">
        <v>148.30000000000001</v>
      </c>
      <c r="J926">
        <v>148.30000000000001</v>
      </c>
      <c r="K926">
        <v>148.30000000000001</v>
      </c>
    </row>
    <row r="927" spans="1:13" x14ac:dyDescent="0.3">
      <c r="A927">
        <v>-5.86</v>
      </c>
      <c r="B927">
        <v>-5.86</v>
      </c>
      <c r="C927">
        <v>-5.86</v>
      </c>
      <c r="D927">
        <v>-5.86</v>
      </c>
      <c r="E927">
        <v>-5.86</v>
      </c>
      <c r="F927">
        <v>-5.86</v>
      </c>
      <c r="G927">
        <v>-5.86</v>
      </c>
      <c r="H927">
        <v>-5.86</v>
      </c>
      <c r="I927">
        <v>-5.86</v>
      </c>
      <c r="J927">
        <v>-5.86</v>
      </c>
      <c r="K927">
        <v>-5.86</v>
      </c>
    </row>
    <row r="928" spans="1:13" x14ac:dyDescent="0.3">
      <c r="A928">
        <v>100</v>
      </c>
      <c r="B928">
        <v>100</v>
      </c>
      <c r="C928">
        <v>100</v>
      </c>
      <c r="D928">
        <v>100</v>
      </c>
      <c r="E928">
        <v>100</v>
      </c>
      <c r="F928">
        <v>100</v>
      </c>
      <c r="G928">
        <v>100</v>
      </c>
      <c r="H928">
        <v>100</v>
      </c>
      <c r="I928">
        <v>100</v>
      </c>
      <c r="J928">
        <v>100</v>
      </c>
      <c r="K928">
        <v>100</v>
      </c>
    </row>
    <row r="929" spans="1:13" x14ac:dyDescent="0.3">
      <c r="A929">
        <v>148.80000000000001</v>
      </c>
      <c r="B929">
        <v>148.80000000000001</v>
      </c>
      <c r="C929">
        <v>148.80000000000001</v>
      </c>
      <c r="D929">
        <v>148.80000000000001</v>
      </c>
      <c r="E929">
        <v>148.80000000000001</v>
      </c>
      <c r="F929">
        <v>148.80000000000001</v>
      </c>
      <c r="G929">
        <v>148.80000000000001</v>
      </c>
      <c r="H929">
        <v>148.80000000000001</v>
      </c>
      <c r="I929">
        <v>148.80000000000001</v>
      </c>
      <c r="J929">
        <v>148.80000000000001</v>
      </c>
      <c r="K929">
        <v>148.80000000000001</v>
      </c>
    </row>
    <row r="930" spans="1:13" x14ac:dyDescent="0.3">
      <c r="A930">
        <v>148.94</v>
      </c>
      <c r="B930">
        <v>148.94</v>
      </c>
      <c r="C930">
        <v>148.94</v>
      </c>
      <c r="D930">
        <v>148.94</v>
      </c>
      <c r="E930">
        <v>148.94</v>
      </c>
      <c r="F930">
        <v>148.94</v>
      </c>
      <c r="G930">
        <v>148.94</v>
      </c>
      <c r="H930">
        <v>148.94</v>
      </c>
      <c r="I930">
        <v>148.94</v>
      </c>
      <c r="J930">
        <v>148.94</v>
      </c>
      <c r="K930">
        <v>148.94</v>
      </c>
    </row>
    <row r="931" spans="1:13" x14ac:dyDescent="0.3">
      <c r="A931">
        <v>100</v>
      </c>
      <c r="B931">
        <v>100</v>
      </c>
      <c r="C931">
        <v>100</v>
      </c>
      <c r="D931">
        <v>100</v>
      </c>
      <c r="E931">
        <v>100</v>
      </c>
      <c r="F931">
        <v>100</v>
      </c>
      <c r="G931">
        <v>100</v>
      </c>
      <c r="H931">
        <v>100</v>
      </c>
      <c r="I931">
        <v>100</v>
      </c>
      <c r="J931">
        <v>100</v>
      </c>
      <c r="K931">
        <v>100</v>
      </c>
    </row>
    <row r="932" spans="1:13" x14ac:dyDescent="0.3">
      <c r="A932" t="s">
        <v>45</v>
      </c>
      <c r="B932" t="s">
        <v>45</v>
      </c>
      <c r="C932" t="s">
        <v>45</v>
      </c>
      <c r="D932" t="s">
        <v>45</v>
      </c>
      <c r="E932" t="s">
        <v>45</v>
      </c>
      <c r="F932" t="s">
        <v>45</v>
      </c>
      <c r="G932" t="s">
        <v>45</v>
      </c>
      <c r="H932" t="s">
        <v>45</v>
      </c>
      <c r="I932" t="s">
        <v>45</v>
      </c>
      <c r="J932" t="s">
        <v>45</v>
      </c>
      <c r="K932" t="s">
        <v>45</v>
      </c>
    </row>
    <row r="933" spans="1:13" x14ac:dyDescent="0.3">
      <c r="A933">
        <v>22976904</v>
      </c>
      <c r="B933">
        <v>22976904</v>
      </c>
      <c r="C933">
        <v>22976904</v>
      </c>
      <c r="D933">
        <v>22976904</v>
      </c>
      <c r="E933">
        <v>22976904</v>
      </c>
      <c r="F933">
        <v>22976904</v>
      </c>
      <c r="G933">
        <v>22976904</v>
      </c>
      <c r="H933">
        <v>22976904</v>
      </c>
      <c r="I933">
        <v>22976904</v>
      </c>
      <c r="J933">
        <v>22976904</v>
      </c>
      <c r="K933">
        <v>22976904</v>
      </c>
    </row>
    <row r="934" spans="1:13" x14ac:dyDescent="0.3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</row>
    <row r="935" spans="1:13" x14ac:dyDescent="0.3">
      <c r="A935" t="s">
        <v>19</v>
      </c>
      <c r="B935" t="s">
        <v>19</v>
      </c>
      <c r="C935" t="s">
        <v>19</v>
      </c>
      <c r="D935" t="s">
        <v>19</v>
      </c>
      <c r="E935" t="s">
        <v>19</v>
      </c>
      <c r="F935" t="s">
        <v>19</v>
      </c>
      <c r="G935" t="s">
        <v>19</v>
      </c>
      <c r="H935" t="s">
        <v>19</v>
      </c>
      <c r="I935" t="s">
        <v>19</v>
      </c>
      <c r="J935" t="s">
        <v>19</v>
      </c>
      <c r="K935" t="s">
        <v>19</v>
      </c>
    </row>
    <row r="936" spans="1:13" x14ac:dyDescent="0.3">
      <c r="A936" t="s">
        <v>20</v>
      </c>
      <c r="B936" t="s">
        <v>20</v>
      </c>
      <c r="C936" t="s">
        <v>20</v>
      </c>
      <c r="D936" t="s">
        <v>20</v>
      </c>
      <c r="E936" t="s">
        <v>20</v>
      </c>
      <c r="F936" t="s">
        <v>20</v>
      </c>
      <c r="G936" t="s">
        <v>20</v>
      </c>
      <c r="H936" t="s">
        <v>20</v>
      </c>
      <c r="I936" t="s">
        <v>20</v>
      </c>
      <c r="J936" t="s">
        <v>20</v>
      </c>
      <c r="K936" t="s">
        <v>20</v>
      </c>
    </row>
    <row r="937" spans="1:13" x14ac:dyDescent="0.3">
      <c r="A937" t="s">
        <v>15</v>
      </c>
      <c r="B937" t="s">
        <v>15</v>
      </c>
      <c r="C937" t="s">
        <v>15</v>
      </c>
      <c r="D937" t="s">
        <v>15</v>
      </c>
      <c r="E937" t="s">
        <v>15</v>
      </c>
      <c r="F937" t="s">
        <v>15</v>
      </c>
      <c r="G937" t="s">
        <v>15</v>
      </c>
      <c r="H937" t="s">
        <v>15</v>
      </c>
      <c r="I937" t="s">
        <v>15</v>
      </c>
      <c r="J937" t="s">
        <v>15</v>
      </c>
      <c r="K937" t="s">
        <v>15</v>
      </c>
      <c r="L937" t="s">
        <v>16</v>
      </c>
      <c r="M937" t="s">
        <v>17</v>
      </c>
    </row>
    <row r="938" spans="1:13" x14ac:dyDescent="0.3">
      <c r="A938">
        <v>140.96</v>
      </c>
      <c r="B938">
        <v>140.96</v>
      </c>
      <c r="C938">
        <v>140.96</v>
      </c>
      <c r="D938">
        <v>140.96</v>
      </c>
      <c r="E938">
        <v>140.96</v>
      </c>
      <c r="F938">
        <v>140.96</v>
      </c>
      <c r="G938">
        <v>140.96</v>
      </c>
      <c r="H938">
        <v>140.96</v>
      </c>
      <c r="I938">
        <v>140.96</v>
      </c>
      <c r="J938">
        <v>140.96</v>
      </c>
      <c r="K938">
        <v>140.96</v>
      </c>
    </row>
    <row r="939" spans="1:13" x14ac:dyDescent="0.3">
      <c r="A939">
        <v>0.92</v>
      </c>
      <c r="B939">
        <v>0.92</v>
      </c>
      <c r="C939">
        <v>0.92</v>
      </c>
      <c r="D939">
        <v>0.92</v>
      </c>
      <c r="E939">
        <v>0.92</v>
      </c>
      <c r="F939">
        <v>0.92</v>
      </c>
      <c r="G939">
        <v>0.92</v>
      </c>
      <c r="H939">
        <v>0.92</v>
      </c>
      <c r="I939">
        <v>0.92</v>
      </c>
      <c r="J939">
        <v>0.92</v>
      </c>
      <c r="K939">
        <v>0.92</v>
      </c>
    </row>
    <row r="940" spans="1:13" x14ac:dyDescent="0.3">
      <c r="A940">
        <v>500</v>
      </c>
      <c r="B940">
        <v>500</v>
      </c>
      <c r="C940">
        <v>500</v>
      </c>
      <c r="D940">
        <v>500</v>
      </c>
      <c r="E940">
        <v>500</v>
      </c>
      <c r="F940">
        <v>500</v>
      </c>
      <c r="G940">
        <v>500</v>
      </c>
      <c r="H940">
        <v>500</v>
      </c>
      <c r="I940">
        <v>500</v>
      </c>
      <c r="J940">
        <v>500</v>
      </c>
      <c r="K940">
        <v>500</v>
      </c>
    </row>
    <row r="941" spans="1:13" x14ac:dyDescent="0.3">
      <c r="A941">
        <v>140.31</v>
      </c>
      <c r="B941">
        <v>140.31</v>
      </c>
      <c r="C941">
        <v>140.31</v>
      </c>
      <c r="D941">
        <v>140.31</v>
      </c>
      <c r="E941">
        <v>140.31</v>
      </c>
      <c r="F941">
        <v>140.31</v>
      </c>
      <c r="G941">
        <v>140.31</v>
      </c>
      <c r="H941">
        <v>140.31</v>
      </c>
      <c r="I941">
        <v>140.31</v>
      </c>
      <c r="J941">
        <v>140.31</v>
      </c>
      <c r="K941">
        <v>140.31</v>
      </c>
    </row>
    <row r="942" spans="1:13" x14ac:dyDescent="0.3">
      <c r="A942">
        <v>141.99</v>
      </c>
      <c r="B942">
        <v>141.99</v>
      </c>
      <c r="C942">
        <v>141.99</v>
      </c>
      <c r="D942">
        <v>141.99</v>
      </c>
      <c r="E942">
        <v>141.99</v>
      </c>
      <c r="F942">
        <v>141.99</v>
      </c>
      <c r="G942">
        <v>141.99</v>
      </c>
      <c r="H942">
        <v>141.99</v>
      </c>
      <c r="I942">
        <v>141.99</v>
      </c>
      <c r="J942">
        <v>141.99</v>
      </c>
      <c r="K942">
        <v>141.99</v>
      </c>
    </row>
    <row r="943" spans="1:13" x14ac:dyDescent="0.3">
      <c r="A943">
        <v>100</v>
      </c>
      <c r="B943">
        <v>100</v>
      </c>
      <c r="C943">
        <v>100</v>
      </c>
      <c r="D943">
        <v>100</v>
      </c>
      <c r="E943">
        <v>100</v>
      </c>
      <c r="F943">
        <v>100</v>
      </c>
      <c r="G943">
        <v>100</v>
      </c>
      <c r="H943">
        <v>100</v>
      </c>
      <c r="I943">
        <v>100</v>
      </c>
      <c r="J943">
        <v>100</v>
      </c>
      <c r="K943">
        <v>100</v>
      </c>
    </row>
    <row r="944" spans="1:13" x14ac:dyDescent="0.3">
      <c r="A944" t="s">
        <v>38</v>
      </c>
      <c r="B944" t="s">
        <v>38</v>
      </c>
      <c r="C944" t="s">
        <v>38</v>
      </c>
      <c r="D944" t="s">
        <v>38</v>
      </c>
      <c r="E944" t="s">
        <v>38</v>
      </c>
      <c r="F944" t="s">
        <v>38</v>
      </c>
      <c r="G944" t="s">
        <v>38</v>
      </c>
      <c r="H944" t="s">
        <v>38</v>
      </c>
      <c r="I944" t="s">
        <v>38</v>
      </c>
      <c r="J944" t="s">
        <v>38</v>
      </c>
      <c r="K944" t="s">
        <v>38</v>
      </c>
    </row>
    <row r="945" spans="1:13" x14ac:dyDescent="0.3">
      <c r="A945">
        <v>4430864</v>
      </c>
      <c r="B945">
        <v>4430864</v>
      </c>
      <c r="C945">
        <v>4430864</v>
      </c>
      <c r="D945">
        <v>4430864</v>
      </c>
      <c r="E945">
        <v>4430864</v>
      </c>
      <c r="F945">
        <v>4430864</v>
      </c>
      <c r="G945">
        <v>4430864</v>
      </c>
      <c r="H945">
        <v>4430864</v>
      </c>
      <c r="I945">
        <v>4430864</v>
      </c>
      <c r="J945">
        <v>4430864</v>
      </c>
      <c r="K945">
        <v>4430864</v>
      </c>
    </row>
    <row r="946" spans="1:13" x14ac:dyDescent="0.3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</row>
    <row r="947" spans="1:13" x14ac:dyDescent="0.3">
      <c r="A947" t="s">
        <v>19</v>
      </c>
      <c r="B947" t="s">
        <v>19</v>
      </c>
      <c r="C947" t="s">
        <v>19</v>
      </c>
      <c r="D947" t="s">
        <v>19</v>
      </c>
      <c r="E947" t="s">
        <v>19</v>
      </c>
      <c r="F947" t="s">
        <v>19</v>
      </c>
      <c r="G947" t="s">
        <v>19</v>
      </c>
      <c r="H947" t="s">
        <v>19</v>
      </c>
      <c r="I947" t="s">
        <v>19</v>
      </c>
      <c r="J947" t="s">
        <v>19</v>
      </c>
      <c r="K947" t="s">
        <v>19</v>
      </c>
    </row>
    <row r="948" spans="1:13" x14ac:dyDescent="0.3">
      <c r="A948" t="s">
        <v>28</v>
      </c>
      <c r="B948" t="s">
        <v>28</v>
      </c>
      <c r="C948" t="s">
        <v>28</v>
      </c>
      <c r="D948" t="s">
        <v>28</v>
      </c>
      <c r="E948" t="s">
        <v>28</v>
      </c>
      <c r="F948" t="s">
        <v>28</v>
      </c>
      <c r="G948" t="s">
        <v>28</v>
      </c>
      <c r="H948" t="s">
        <v>28</v>
      </c>
      <c r="I948" t="s">
        <v>28</v>
      </c>
      <c r="J948" t="s">
        <v>28</v>
      </c>
      <c r="K948" t="s">
        <v>28</v>
      </c>
    </row>
    <row r="949" spans="1:13" x14ac:dyDescent="0.3">
      <c r="A949" t="s">
        <v>15</v>
      </c>
      <c r="B949" t="s">
        <v>15</v>
      </c>
      <c r="C949" t="s">
        <v>15</v>
      </c>
      <c r="D949" t="s">
        <v>15</v>
      </c>
      <c r="E949" t="s">
        <v>15</v>
      </c>
      <c r="F949" t="s">
        <v>15</v>
      </c>
      <c r="G949" t="s">
        <v>15</v>
      </c>
      <c r="H949" t="s">
        <v>15</v>
      </c>
      <c r="I949" t="s">
        <v>15</v>
      </c>
      <c r="J949" t="s">
        <v>15</v>
      </c>
      <c r="K949" t="s">
        <v>15</v>
      </c>
      <c r="L949" t="s">
        <v>16</v>
      </c>
      <c r="M949" t="s">
        <v>17</v>
      </c>
    </row>
    <row r="950" spans="1:13" x14ac:dyDescent="0.3">
      <c r="A950">
        <v>196.16</v>
      </c>
      <c r="B950">
        <v>196.16</v>
      </c>
      <c r="C950">
        <v>196.16</v>
      </c>
      <c r="D950">
        <v>196.16</v>
      </c>
      <c r="E950">
        <v>196.16</v>
      </c>
      <c r="F950">
        <v>196.16</v>
      </c>
      <c r="G950">
        <v>196.16</v>
      </c>
      <c r="H950">
        <v>196.16</v>
      </c>
      <c r="I950">
        <v>196.16</v>
      </c>
      <c r="J950">
        <v>196.16</v>
      </c>
      <c r="K950">
        <v>196.16</v>
      </c>
    </row>
    <row r="951" spans="1:13" x14ac:dyDescent="0.3">
      <c r="A951">
        <v>-0.56000000000000005</v>
      </c>
      <c r="B951">
        <v>-0.56000000000000005</v>
      </c>
      <c r="C951">
        <v>-0.56000000000000005</v>
      </c>
      <c r="D951">
        <v>-0.56000000000000005</v>
      </c>
      <c r="E951">
        <v>-0.56000000000000005</v>
      </c>
      <c r="F951">
        <v>-0.56000000000000005</v>
      </c>
      <c r="G951">
        <v>-0.56000000000000005</v>
      </c>
      <c r="H951">
        <v>-0.56000000000000005</v>
      </c>
      <c r="I951">
        <v>-0.56000000000000005</v>
      </c>
      <c r="J951">
        <v>-0.56000000000000005</v>
      </c>
      <c r="K951">
        <v>-0.56000000000000005</v>
      </c>
    </row>
    <row r="952" spans="1:13" x14ac:dyDescent="0.3">
      <c r="A952">
        <v>100</v>
      </c>
      <c r="B952">
        <v>100</v>
      </c>
      <c r="C952">
        <v>100</v>
      </c>
      <c r="D952">
        <v>100</v>
      </c>
      <c r="E952">
        <v>100</v>
      </c>
      <c r="F952">
        <v>100</v>
      </c>
      <c r="G952">
        <v>100</v>
      </c>
      <c r="H952">
        <v>100</v>
      </c>
      <c r="I952">
        <v>100</v>
      </c>
      <c r="J952">
        <v>100</v>
      </c>
      <c r="K952">
        <v>100</v>
      </c>
    </row>
    <row r="953" spans="1:13" x14ac:dyDescent="0.3">
      <c r="A953">
        <v>196.16</v>
      </c>
      <c r="B953">
        <v>196.16</v>
      </c>
      <c r="C953">
        <v>196.16</v>
      </c>
      <c r="D953">
        <v>196.16</v>
      </c>
      <c r="E953">
        <v>196.16</v>
      </c>
      <c r="F953">
        <v>196.16</v>
      </c>
      <c r="G953">
        <v>196.16</v>
      </c>
      <c r="H953">
        <v>196.16</v>
      </c>
      <c r="I953">
        <v>196.16</v>
      </c>
      <c r="J953">
        <v>196.16</v>
      </c>
      <c r="K953">
        <v>196.16</v>
      </c>
    </row>
    <row r="954" spans="1:13" x14ac:dyDescent="0.3">
      <c r="A954">
        <v>197</v>
      </c>
      <c r="B954">
        <v>197</v>
      </c>
      <c r="C954">
        <v>197</v>
      </c>
      <c r="D954">
        <v>197</v>
      </c>
      <c r="E954">
        <v>197</v>
      </c>
      <c r="F954">
        <v>197</v>
      </c>
      <c r="G954">
        <v>197</v>
      </c>
      <c r="H954">
        <v>197</v>
      </c>
      <c r="I954">
        <v>197</v>
      </c>
      <c r="J954">
        <v>197</v>
      </c>
      <c r="K954">
        <v>197</v>
      </c>
    </row>
    <row r="955" spans="1:13" x14ac:dyDescent="0.3">
      <c r="A955">
        <v>300</v>
      </c>
      <c r="B955">
        <v>300</v>
      </c>
      <c r="C955">
        <v>300</v>
      </c>
      <c r="D955">
        <v>300</v>
      </c>
      <c r="E955">
        <v>300</v>
      </c>
      <c r="F955">
        <v>300</v>
      </c>
      <c r="G955">
        <v>300</v>
      </c>
      <c r="H955">
        <v>300</v>
      </c>
      <c r="I955">
        <v>300</v>
      </c>
      <c r="J955">
        <v>300</v>
      </c>
      <c r="K955">
        <v>300</v>
      </c>
    </row>
    <row r="956" spans="1:13" x14ac:dyDescent="0.3">
      <c r="A956" t="s">
        <v>22</v>
      </c>
      <c r="B956" t="s">
        <v>22</v>
      </c>
      <c r="C956" t="s">
        <v>22</v>
      </c>
      <c r="D956" t="s">
        <v>22</v>
      </c>
      <c r="E956" t="s">
        <v>22</v>
      </c>
      <c r="F956" t="s">
        <v>22</v>
      </c>
      <c r="G956" t="s">
        <v>22</v>
      </c>
      <c r="H956" t="s">
        <v>22</v>
      </c>
      <c r="I956" t="s">
        <v>22</v>
      </c>
      <c r="J956" t="s">
        <v>22</v>
      </c>
      <c r="K956" t="s">
        <v>22</v>
      </c>
    </row>
    <row r="957" spans="1:13" x14ac:dyDescent="0.3">
      <c r="A957">
        <v>4471072</v>
      </c>
      <c r="B957">
        <v>4471072</v>
      </c>
      <c r="C957">
        <v>4471072</v>
      </c>
      <c r="D957">
        <v>4471072</v>
      </c>
      <c r="E957">
        <v>4471072</v>
      </c>
      <c r="F957">
        <v>4471072</v>
      </c>
      <c r="G957">
        <v>4471072</v>
      </c>
      <c r="H957">
        <v>4471072</v>
      </c>
      <c r="I957">
        <v>4471072</v>
      </c>
      <c r="J957">
        <v>4471072</v>
      </c>
      <c r="K957">
        <v>4471072</v>
      </c>
    </row>
    <row r="958" spans="1:13" x14ac:dyDescent="0.3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</row>
    <row r="959" spans="1:13" x14ac:dyDescent="0.3">
      <c r="A959" t="s">
        <v>19</v>
      </c>
      <c r="B959" t="s">
        <v>19</v>
      </c>
      <c r="C959" t="s">
        <v>19</v>
      </c>
      <c r="D959" t="s">
        <v>19</v>
      </c>
      <c r="E959" t="s">
        <v>19</v>
      </c>
      <c r="F959" t="s">
        <v>19</v>
      </c>
      <c r="G959" t="s">
        <v>19</v>
      </c>
      <c r="H959" t="s">
        <v>19</v>
      </c>
      <c r="I959" t="s">
        <v>19</v>
      </c>
      <c r="J959" t="s">
        <v>19</v>
      </c>
      <c r="K959" t="s">
        <v>19</v>
      </c>
    </row>
    <row r="960" spans="1:13" x14ac:dyDescent="0.3">
      <c r="A960" t="s">
        <v>20</v>
      </c>
      <c r="B960" t="s">
        <v>20</v>
      </c>
      <c r="C960" t="s">
        <v>20</v>
      </c>
      <c r="D960" t="s">
        <v>20</v>
      </c>
      <c r="E960" t="s">
        <v>20</v>
      </c>
      <c r="F960" t="s">
        <v>20</v>
      </c>
      <c r="G960" t="s">
        <v>20</v>
      </c>
      <c r="H960" t="s">
        <v>20</v>
      </c>
      <c r="I960" t="s">
        <v>20</v>
      </c>
      <c r="J960" t="s">
        <v>20</v>
      </c>
      <c r="K960" t="s">
        <v>20</v>
      </c>
    </row>
    <row r="961" spans="1:13" x14ac:dyDescent="0.3">
      <c r="A961" t="s">
        <v>15</v>
      </c>
      <c r="B961" t="s">
        <v>15</v>
      </c>
      <c r="C961" t="s">
        <v>15</v>
      </c>
      <c r="D961" t="s">
        <v>15</v>
      </c>
      <c r="E961" t="s">
        <v>15</v>
      </c>
      <c r="F961" t="s">
        <v>15</v>
      </c>
      <c r="G961" t="s">
        <v>15</v>
      </c>
      <c r="H961" t="s">
        <v>15</v>
      </c>
      <c r="I961" t="s">
        <v>15</v>
      </c>
      <c r="J961" t="s">
        <v>15</v>
      </c>
      <c r="K961" t="s">
        <v>15</v>
      </c>
      <c r="L961" t="s">
        <v>16</v>
      </c>
      <c r="M961" t="s">
        <v>17</v>
      </c>
    </row>
    <row r="962" spans="1:13" x14ac:dyDescent="0.3">
      <c r="A962">
        <v>145.84</v>
      </c>
      <c r="B962">
        <v>145.84</v>
      </c>
      <c r="C962">
        <v>145.84</v>
      </c>
      <c r="D962">
        <v>145.84</v>
      </c>
      <c r="E962">
        <v>145.84</v>
      </c>
      <c r="F962">
        <v>145.84</v>
      </c>
      <c r="G962">
        <v>145.84</v>
      </c>
      <c r="H962">
        <v>145.84</v>
      </c>
      <c r="I962">
        <v>145.84</v>
      </c>
      <c r="J962">
        <v>145.84</v>
      </c>
      <c r="K962">
        <v>145.84</v>
      </c>
    </row>
    <row r="963" spans="1:13" x14ac:dyDescent="0.3">
      <c r="A963">
        <v>-1.44</v>
      </c>
      <c r="B963">
        <v>-1.44</v>
      </c>
      <c r="C963">
        <v>-1.44</v>
      </c>
      <c r="D963">
        <v>-1.44</v>
      </c>
      <c r="E963">
        <v>-1.44</v>
      </c>
      <c r="F963">
        <v>-1.44</v>
      </c>
      <c r="G963">
        <v>-1.44</v>
      </c>
      <c r="H963">
        <v>-1.44</v>
      </c>
      <c r="I963">
        <v>-1.44</v>
      </c>
      <c r="J963">
        <v>-1.44</v>
      </c>
      <c r="K963">
        <v>-1.44</v>
      </c>
    </row>
    <row r="964" spans="1:13" x14ac:dyDescent="0.3">
      <c r="A964">
        <v>100</v>
      </c>
      <c r="B964">
        <v>100</v>
      </c>
      <c r="C964">
        <v>100</v>
      </c>
      <c r="D964">
        <v>100</v>
      </c>
      <c r="E964">
        <v>100</v>
      </c>
      <c r="F964">
        <v>100</v>
      </c>
      <c r="G964">
        <v>100</v>
      </c>
      <c r="H964">
        <v>100</v>
      </c>
      <c r="I964">
        <v>100</v>
      </c>
      <c r="J964">
        <v>100</v>
      </c>
      <c r="K964">
        <v>100</v>
      </c>
    </row>
    <row r="965" spans="1:13" x14ac:dyDescent="0.3">
      <c r="A965">
        <v>145.82</v>
      </c>
      <c r="B965">
        <v>145.82</v>
      </c>
      <c r="C965">
        <v>145.82</v>
      </c>
      <c r="D965">
        <v>145.82</v>
      </c>
      <c r="E965">
        <v>145.82</v>
      </c>
      <c r="F965">
        <v>145.82</v>
      </c>
      <c r="G965">
        <v>145.82</v>
      </c>
      <c r="H965">
        <v>145.82</v>
      </c>
      <c r="I965">
        <v>145.82</v>
      </c>
      <c r="J965">
        <v>145.82</v>
      </c>
      <c r="K965">
        <v>145.82</v>
      </c>
    </row>
    <row r="966" spans="1:13" x14ac:dyDescent="0.3">
      <c r="A966">
        <v>145.97999999999999</v>
      </c>
      <c r="B966">
        <v>145.97999999999999</v>
      </c>
      <c r="C966">
        <v>145.97999999999999</v>
      </c>
      <c r="D966">
        <v>145.97999999999999</v>
      </c>
      <c r="E966">
        <v>145.97999999999999</v>
      </c>
      <c r="F966">
        <v>145.97999999999999</v>
      </c>
      <c r="G966">
        <v>145.97999999999999</v>
      </c>
      <c r="H966">
        <v>145.97999999999999</v>
      </c>
      <c r="I966">
        <v>145.97999999999999</v>
      </c>
      <c r="J966">
        <v>145.97999999999999</v>
      </c>
      <c r="K966">
        <v>145.97999999999999</v>
      </c>
    </row>
    <row r="967" spans="1:13" x14ac:dyDescent="0.3">
      <c r="A967">
        <v>700</v>
      </c>
      <c r="B967">
        <v>700</v>
      </c>
      <c r="C967">
        <v>700</v>
      </c>
      <c r="D967">
        <v>700</v>
      </c>
      <c r="E967">
        <v>700</v>
      </c>
      <c r="F967">
        <v>700</v>
      </c>
      <c r="G967">
        <v>700</v>
      </c>
      <c r="H967">
        <v>700</v>
      </c>
      <c r="I967">
        <v>700</v>
      </c>
      <c r="J967">
        <v>700</v>
      </c>
      <c r="K967">
        <v>700</v>
      </c>
    </row>
    <row r="968" spans="1:13" x14ac:dyDescent="0.3">
      <c r="A968" t="s">
        <v>22</v>
      </c>
      <c r="B968" t="s">
        <v>22</v>
      </c>
      <c r="C968" t="s">
        <v>22</v>
      </c>
      <c r="D968" t="s">
        <v>22</v>
      </c>
      <c r="E968" t="s">
        <v>22</v>
      </c>
      <c r="F968" t="s">
        <v>22</v>
      </c>
      <c r="G968" t="s">
        <v>22</v>
      </c>
      <c r="H968" t="s">
        <v>22</v>
      </c>
      <c r="I968" t="s">
        <v>22</v>
      </c>
      <c r="J968" t="s">
        <v>22</v>
      </c>
      <c r="K968" t="s">
        <v>22</v>
      </c>
    </row>
    <row r="969" spans="1:13" x14ac:dyDescent="0.3">
      <c r="A969">
        <v>24626190</v>
      </c>
      <c r="B969">
        <v>24626190</v>
      </c>
      <c r="C969">
        <v>24626190</v>
      </c>
      <c r="D969">
        <v>24626190</v>
      </c>
      <c r="E969">
        <v>24626190</v>
      </c>
      <c r="F969">
        <v>24626190</v>
      </c>
      <c r="G969">
        <v>24626190</v>
      </c>
      <c r="H969">
        <v>24626190</v>
      </c>
      <c r="I969">
        <v>24626190</v>
      </c>
      <c r="J969">
        <v>24626190</v>
      </c>
      <c r="K969">
        <v>24626190</v>
      </c>
    </row>
    <row r="970" spans="1:13" x14ac:dyDescent="0.3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</row>
    <row r="971" spans="1:13" x14ac:dyDescent="0.3">
      <c r="A971" t="s">
        <v>19</v>
      </c>
      <c r="B971" t="s">
        <v>19</v>
      </c>
      <c r="C971" t="s">
        <v>19</v>
      </c>
      <c r="D971" t="s">
        <v>19</v>
      </c>
      <c r="E971" t="s">
        <v>19</v>
      </c>
      <c r="F971" t="s">
        <v>19</v>
      </c>
      <c r="G971" t="s">
        <v>19</v>
      </c>
      <c r="H971" t="s">
        <v>19</v>
      </c>
      <c r="I971" t="s">
        <v>19</v>
      </c>
      <c r="J971" t="s">
        <v>19</v>
      </c>
      <c r="K971" t="s">
        <v>19</v>
      </c>
    </row>
    <row r="972" spans="1:13" x14ac:dyDescent="0.3">
      <c r="A972" t="s">
        <v>20</v>
      </c>
      <c r="B972" t="s">
        <v>20</v>
      </c>
      <c r="C972" t="s">
        <v>20</v>
      </c>
      <c r="D972" t="s">
        <v>20</v>
      </c>
      <c r="E972" t="s">
        <v>20</v>
      </c>
      <c r="F972" t="s">
        <v>20</v>
      </c>
      <c r="G972" t="s">
        <v>20</v>
      </c>
      <c r="H972" t="s">
        <v>20</v>
      </c>
      <c r="I972" t="s">
        <v>20</v>
      </c>
      <c r="J972" t="s">
        <v>20</v>
      </c>
      <c r="K972" t="s">
        <v>20</v>
      </c>
    </row>
    <row r="973" spans="1:13" x14ac:dyDescent="0.3">
      <c r="A973" t="s">
        <v>15</v>
      </c>
      <c r="B973" t="s">
        <v>15</v>
      </c>
      <c r="C973" t="s">
        <v>15</v>
      </c>
      <c r="D973" t="s">
        <v>15</v>
      </c>
      <c r="E973" t="s">
        <v>15</v>
      </c>
      <c r="F973" t="s">
        <v>15</v>
      </c>
      <c r="G973" t="s">
        <v>15</v>
      </c>
      <c r="H973" t="s">
        <v>15</v>
      </c>
      <c r="I973" t="s">
        <v>15</v>
      </c>
      <c r="J973" t="s">
        <v>15</v>
      </c>
      <c r="K973" t="s">
        <v>15</v>
      </c>
      <c r="L973" t="s">
        <v>16</v>
      </c>
      <c r="M973" t="s">
        <v>17</v>
      </c>
    </row>
    <row r="974" spans="1:13" x14ac:dyDescent="0.3">
      <c r="A974">
        <v>498.98</v>
      </c>
      <c r="B974">
        <v>498.98</v>
      </c>
      <c r="C974">
        <v>498.98</v>
      </c>
      <c r="D974">
        <v>498.98</v>
      </c>
      <c r="E974">
        <v>498.98</v>
      </c>
      <c r="F974">
        <v>498.98</v>
      </c>
      <c r="G974">
        <v>498.98</v>
      </c>
      <c r="H974">
        <v>498.98</v>
      </c>
      <c r="I974">
        <v>498.98</v>
      </c>
      <c r="J974">
        <v>498.98</v>
      </c>
      <c r="K974">
        <v>498.98</v>
      </c>
    </row>
    <row r="975" spans="1:13" x14ac:dyDescent="0.3">
      <c r="A975">
        <v>0.03</v>
      </c>
      <c r="B975">
        <v>0.03</v>
      </c>
      <c r="C975">
        <v>0.03</v>
      </c>
      <c r="D975">
        <v>0.03</v>
      </c>
      <c r="E975">
        <v>0.03</v>
      </c>
      <c r="F975">
        <v>0.03</v>
      </c>
      <c r="G975">
        <v>0.03</v>
      </c>
      <c r="H975">
        <v>0.03</v>
      </c>
      <c r="I975">
        <v>0.03</v>
      </c>
      <c r="J975">
        <v>0.03</v>
      </c>
      <c r="K975">
        <v>0.03</v>
      </c>
    </row>
    <row r="976" spans="1:13" x14ac:dyDescent="0.3">
      <c r="A976">
        <v>400</v>
      </c>
      <c r="B976">
        <v>400</v>
      </c>
      <c r="C976">
        <v>400</v>
      </c>
      <c r="D976">
        <v>400</v>
      </c>
      <c r="E976">
        <v>400</v>
      </c>
      <c r="F976">
        <v>400</v>
      </c>
      <c r="G976">
        <v>400</v>
      </c>
      <c r="H976">
        <v>400</v>
      </c>
      <c r="I976">
        <v>400</v>
      </c>
      <c r="J976">
        <v>400</v>
      </c>
      <c r="K976">
        <v>400</v>
      </c>
    </row>
    <row r="977" spans="1:13" x14ac:dyDescent="0.3">
      <c r="A977">
        <v>498</v>
      </c>
      <c r="B977">
        <v>498</v>
      </c>
      <c r="C977">
        <v>498</v>
      </c>
      <c r="D977">
        <v>498</v>
      </c>
      <c r="E977">
        <v>498</v>
      </c>
      <c r="F977">
        <v>498</v>
      </c>
      <c r="G977">
        <v>498</v>
      </c>
      <c r="H977">
        <v>498</v>
      </c>
      <c r="I977">
        <v>498</v>
      </c>
      <c r="J977">
        <v>498</v>
      </c>
      <c r="K977">
        <v>498</v>
      </c>
    </row>
    <row r="978" spans="1:13" x14ac:dyDescent="0.3">
      <c r="A978">
        <v>500</v>
      </c>
      <c r="B978">
        <v>500</v>
      </c>
      <c r="C978">
        <v>500</v>
      </c>
      <c r="D978">
        <v>500</v>
      </c>
      <c r="E978">
        <v>500</v>
      </c>
      <c r="F978">
        <v>500</v>
      </c>
      <c r="G978">
        <v>500</v>
      </c>
      <c r="H978">
        <v>500</v>
      </c>
      <c r="I978">
        <v>500</v>
      </c>
      <c r="J978">
        <v>500</v>
      </c>
      <c r="K978">
        <v>500</v>
      </c>
    </row>
    <row r="979" spans="1:13" x14ac:dyDescent="0.3">
      <c r="A979">
        <v>100</v>
      </c>
      <c r="B979">
        <v>100</v>
      </c>
      <c r="C979">
        <v>100</v>
      </c>
      <c r="D979">
        <v>100</v>
      </c>
      <c r="E979">
        <v>100</v>
      </c>
      <c r="F979">
        <v>100</v>
      </c>
      <c r="G979">
        <v>100</v>
      </c>
      <c r="H979">
        <v>100</v>
      </c>
      <c r="I979">
        <v>100</v>
      </c>
      <c r="J979">
        <v>100</v>
      </c>
      <c r="K979">
        <v>100</v>
      </c>
    </row>
    <row r="980" spans="1:13" x14ac:dyDescent="0.3">
      <c r="A980" t="s">
        <v>51</v>
      </c>
      <c r="B980" t="s">
        <v>51</v>
      </c>
      <c r="C980" t="s">
        <v>51</v>
      </c>
      <c r="D980" t="s">
        <v>51</v>
      </c>
      <c r="E980" t="s">
        <v>51</v>
      </c>
      <c r="F980" t="s">
        <v>51</v>
      </c>
      <c r="G980" t="s">
        <v>51</v>
      </c>
      <c r="H980" t="s">
        <v>51</v>
      </c>
      <c r="I980" t="s">
        <v>51</v>
      </c>
      <c r="J980" t="s">
        <v>51</v>
      </c>
      <c r="K980" t="s">
        <v>51</v>
      </c>
    </row>
    <row r="981" spans="1:13" x14ac:dyDescent="0.3">
      <c r="A981">
        <v>1597722</v>
      </c>
      <c r="B981">
        <v>1597722</v>
      </c>
      <c r="C981">
        <v>1597722</v>
      </c>
      <c r="D981">
        <v>1597722</v>
      </c>
      <c r="E981">
        <v>1597722</v>
      </c>
      <c r="F981">
        <v>1597722</v>
      </c>
      <c r="G981">
        <v>1597722</v>
      </c>
      <c r="H981">
        <v>1597722</v>
      </c>
      <c r="I981">
        <v>1597722</v>
      </c>
      <c r="J981">
        <v>1597722</v>
      </c>
      <c r="K981">
        <v>1597722</v>
      </c>
    </row>
    <row r="982" spans="1:13" x14ac:dyDescent="0.3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</row>
    <row r="983" spans="1:13" x14ac:dyDescent="0.3">
      <c r="A983" t="s">
        <v>19</v>
      </c>
      <c r="B983" t="s">
        <v>19</v>
      </c>
      <c r="C983" t="s">
        <v>19</v>
      </c>
      <c r="D983" t="s">
        <v>19</v>
      </c>
      <c r="E983" t="s">
        <v>19</v>
      </c>
      <c r="F983" t="s">
        <v>19</v>
      </c>
      <c r="G983" t="s">
        <v>19</v>
      </c>
      <c r="H983" t="s">
        <v>19</v>
      </c>
      <c r="I983" t="s">
        <v>19</v>
      </c>
      <c r="J983" t="s">
        <v>19</v>
      </c>
      <c r="K983" t="s">
        <v>19</v>
      </c>
    </row>
    <row r="984" spans="1:13" x14ac:dyDescent="0.3">
      <c r="A984" t="s">
        <v>20</v>
      </c>
      <c r="B984" t="s">
        <v>20</v>
      </c>
      <c r="C984" t="s">
        <v>20</v>
      </c>
      <c r="D984" t="s">
        <v>20</v>
      </c>
      <c r="E984" t="s">
        <v>20</v>
      </c>
      <c r="F984" t="s">
        <v>20</v>
      </c>
      <c r="G984" t="s">
        <v>20</v>
      </c>
      <c r="H984" t="s">
        <v>20</v>
      </c>
      <c r="I984" t="s">
        <v>20</v>
      </c>
      <c r="J984" t="s">
        <v>20</v>
      </c>
      <c r="K984" t="s">
        <v>20</v>
      </c>
    </row>
    <row r="985" spans="1:13" x14ac:dyDescent="0.3">
      <c r="A985" t="s">
        <v>15</v>
      </c>
      <c r="B985" t="s">
        <v>15</v>
      </c>
      <c r="C985" t="s">
        <v>15</v>
      </c>
      <c r="D985" t="s">
        <v>15</v>
      </c>
      <c r="E985" t="s">
        <v>15</v>
      </c>
      <c r="F985" t="s">
        <v>15</v>
      </c>
      <c r="G985" t="s">
        <v>15</v>
      </c>
      <c r="H985" t="s">
        <v>15</v>
      </c>
      <c r="I985" t="s">
        <v>15</v>
      </c>
      <c r="J985" t="s">
        <v>15</v>
      </c>
      <c r="K985" t="s">
        <v>15</v>
      </c>
      <c r="L985" t="s">
        <v>16</v>
      </c>
      <c r="M985" t="s">
        <v>17</v>
      </c>
    </row>
    <row r="986" spans="1:13" x14ac:dyDescent="0.3">
      <c r="A986">
        <v>118.72</v>
      </c>
      <c r="B986">
        <v>118.72</v>
      </c>
      <c r="C986">
        <v>118.72</v>
      </c>
      <c r="D986">
        <v>118.72</v>
      </c>
      <c r="E986">
        <v>118.72</v>
      </c>
      <c r="F986">
        <v>118.72</v>
      </c>
      <c r="G986">
        <v>118.72</v>
      </c>
      <c r="H986">
        <v>118.72</v>
      </c>
      <c r="I986">
        <v>118.72</v>
      </c>
      <c r="J986">
        <v>118.72</v>
      </c>
      <c r="K986">
        <v>118.72</v>
      </c>
    </row>
    <row r="987" spans="1:13" x14ac:dyDescent="0.3">
      <c r="A987">
        <v>-0.03</v>
      </c>
      <c r="B987">
        <v>-0.03</v>
      </c>
      <c r="C987">
        <v>-0.03</v>
      </c>
      <c r="D987">
        <v>-0.03</v>
      </c>
      <c r="E987">
        <v>-0.03</v>
      </c>
      <c r="F987">
        <v>-0.03</v>
      </c>
      <c r="G987">
        <v>-0.03</v>
      </c>
      <c r="H987">
        <v>-0.03</v>
      </c>
      <c r="I987">
        <v>-0.03</v>
      </c>
      <c r="J987">
        <v>-0.03</v>
      </c>
      <c r="K987">
        <v>-0.03</v>
      </c>
    </row>
    <row r="988" spans="1:13" x14ac:dyDescent="0.3">
      <c r="A988">
        <v>100</v>
      </c>
      <c r="B988">
        <v>100</v>
      </c>
      <c r="C988">
        <v>100</v>
      </c>
      <c r="D988">
        <v>100</v>
      </c>
      <c r="E988">
        <v>100</v>
      </c>
      <c r="F988">
        <v>100</v>
      </c>
      <c r="G988">
        <v>100</v>
      </c>
      <c r="H988">
        <v>100</v>
      </c>
      <c r="I988">
        <v>100</v>
      </c>
      <c r="J988">
        <v>100</v>
      </c>
      <c r="K988">
        <v>100</v>
      </c>
    </row>
    <row r="989" spans="1:13" x14ac:dyDescent="0.3">
      <c r="A989">
        <v>109.35</v>
      </c>
      <c r="B989">
        <v>109.35</v>
      </c>
      <c r="C989">
        <v>109.35</v>
      </c>
      <c r="D989">
        <v>109.35</v>
      </c>
      <c r="E989">
        <v>109.35</v>
      </c>
      <c r="F989">
        <v>109.35</v>
      </c>
      <c r="G989">
        <v>109.35</v>
      </c>
      <c r="H989">
        <v>109.35</v>
      </c>
      <c r="I989">
        <v>109.35</v>
      </c>
      <c r="J989">
        <v>109.35</v>
      </c>
      <c r="K989">
        <v>109.35</v>
      </c>
    </row>
    <row r="990" spans="1:13" x14ac:dyDescent="0.3">
      <c r="A990">
        <v>121.99</v>
      </c>
      <c r="B990">
        <v>121.99</v>
      </c>
      <c r="C990">
        <v>121.99</v>
      </c>
      <c r="D990">
        <v>121.99</v>
      </c>
      <c r="E990">
        <v>121.99</v>
      </c>
      <c r="F990">
        <v>121.99</v>
      </c>
      <c r="G990">
        <v>121.99</v>
      </c>
      <c r="H990">
        <v>121.99</v>
      </c>
      <c r="I990">
        <v>121.99</v>
      </c>
      <c r="J990">
        <v>121.99</v>
      </c>
      <c r="K990">
        <v>121.99</v>
      </c>
    </row>
    <row r="991" spans="1:13" x14ac:dyDescent="0.3">
      <c r="A991">
        <v>100</v>
      </c>
      <c r="B991">
        <v>100</v>
      </c>
      <c r="C991">
        <v>100</v>
      </c>
      <c r="D991">
        <v>100</v>
      </c>
      <c r="E991">
        <v>100</v>
      </c>
      <c r="F991">
        <v>100</v>
      </c>
      <c r="G991">
        <v>100</v>
      </c>
      <c r="H991">
        <v>100</v>
      </c>
      <c r="I991">
        <v>100</v>
      </c>
      <c r="J991">
        <v>100</v>
      </c>
      <c r="K991">
        <v>100</v>
      </c>
    </row>
    <row r="992" spans="1:13" x14ac:dyDescent="0.3">
      <c r="A992" t="s">
        <v>38</v>
      </c>
      <c r="B992" t="s">
        <v>38</v>
      </c>
      <c r="C992" t="s">
        <v>38</v>
      </c>
      <c r="D992" t="s">
        <v>38</v>
      </c>
      <c r="E992" t="s">
        <v>38</v>
      </c>
      <c r="F992" t="s">
        <v>38</v>
      </c>
      <c r="G992" t="s">
        <v>38</v>
      </c>
      <c r="H992" t="s">
        <v>38</v>
      </c>
      <c r="I992" t="s">
        <v>38</v>
      </c>
      <c r="J992" t="s">
        <v>38</v>
      </c>
      <c r="K992" t="s">
        <v>38</v>
      </c>
    </row>
    <row r="993" spans="1:13" x14ac:dyDescent="0.3">
      <c r="A993">
        <v>1389041</v>
      </c>
      <c r="B993">
        <v>1389041</v>
      </c>
      <c r="C993">
        <v>1389041</v>
      </c>
      <c r="D993">
        <v>1389041</v>
      </c>
      <c r="E993">
        <v>1389041</v>
      </c>
      <c r="F993">
        <v>1389041</v>
      </c>
      <c r="G993">
        <v>1389041</v>
      </c>
      <c r="H993">
        <v>1389041</v>
      </c>
      <c r="I993">
        <v>1389041</v>
      </c>
      <c r="J993">
        <v>1389041</v>
      </c>
      <c r="K993">
        <v>1389041</v>
      </c>
    </row>
    <row r="994" spans="1:13" x14ac:dyDescent="0.3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</row>
    <row r="995" spans="1:13" x14ac:dyDescent="0.3">
      <c r="A995" t="s">
        <v>19</v>
      </c>
      <c r="B995" t="s">
        <v>19</v>
      </c>
      <c r="C995" t="s">
        <v>19</v>
      </c>
      <c r="D995" t="s">
        <v>19</v>
      </c>
      <c r="E995" t="s">
        <v>19</v>
      </c>
      <c r="F995" t="s">
        <v>19</v>
      </c>
      <c r="G995" t="s">
        <v>19</v>
      </c>
      <c r="H995" t="s">
        <v>19</v>
      </c>
      <c r="I995" t="s">
        <v>19</v>
      </c>
      <c r="J995" t="s">
        <v>19</v>
      </c>
      <c r="K995" t="s">
        <v>19</v>
      </c>
    </row>
    <row r="996" spans="1:13" x14ac:dyDescent="0.3">
      <c r="A996" t="s">
        <v>20</v>
      </c>
      <c r="B996" t="s">
        <v>20</v>
      </c>
      <c r="C996" t="s">
        <v>20</v>
      </c>
      <c r="D996" t="s">
        <v>20</v>
      </c>
      <c r="E996" t="s">
        <v>20</v>
      </c>
      <c r="F996" t="s">
        <v>20</v>
      </c>
      <c r="G996" t="s">
        <v>20</v>
      </c>
      <c r="H996" t="s">
        <v>20</v>
      </c>
      <c r="I996" t="s">
        <v>20</v>
      </c>
      <c r="J996" t="s">
        <v>20</v>
      </c>
      <c r="K996" t="s">
        <v>20</v>
      </c>
    </row>
    <row r="997" spans="1:13" x14ac:dyDescent="0.3">
      <c r="A997" t="s">
        <v>15</v>
      </c>
      <c r="B997" t="s">
        <v>15</v>
      </c>
      <c r="C997" t="s">
        <v>15</v>
      </c>
      <c r="D997" t="s">
        <v>15</v>
      </c>
      <c r="E997" t="s">
        <v>15</v>
      </c>
      <c r="F997" t="s">
        <v>15</v>
      </c>
      <c r="G997" t="s">
        <v>15</v>
      </c>
      <c r="H997" t="s">
        <v>15</v>
      </c>
      <c r="I997" t="s">
        <v>15</v>
      </c>
      <c r="J997" t="s">
        <v>15</v>
      </c>
      <c r="K997" t="s">
        <v>15</v>
      </c>
      <c r="L997" t="s">
        <v>16</v>
      </c>
      <c r="M997" t="s">
        <v>17</v>
      </c>
    </row>
    <row r="998" spans="1:13" x14ac:dyDescent="0.3">
      <c r="A998">
        <v>190.61</v>
      </c>
      <c r="B998">
        <v>190.61</v>
      </c>
      <c r="C998">
        <v>190.61</v>
      </c>
      <c r="D998">
        <v>190.61</v>
      </c>
      <c r="E998">
        <v>190.61</v>
      </c>
      <c r="F998">
        <v>190.61</v>
      </c>
      <c r="G998">
        <v>190.61</v>
      </c>
      <c r="H998">
        <v>190.61</v>
      </c>
      <c r="I998">
        <v>190.61</v>
      </c>
      <c r="J998">
        <v>190.61</v>
      </c>
      <c r="K998">
        <v>190.61</v>
      </c>
    </row>
    <row r="999" spans="1:13" x14ac:dyDescent="0.3">
      <c r="A999">
        <v>15.23</v>
      </c>
      <c r="B999">
        <v>15.23</v>
      </c>
      <c r="C999">
        <v>15.23</v>
      </c>
      <c r="D999">
        <v>15.23</v>
      </c>
      <c r="E999">
        <v>15.23</v>
      </c>
      <c r="F999">
        <v>15.23</v>
      </c>
      <c r="G999">
        <v>15.23</v>
      </c>
      <c r="H999">
        <v>15.23</v>
      </c>
      <c r="I999">
        <v>15.23</v>
      </c>
      <c r="J999">
        <v>15.23</v>
      </c>
      <c r="K999">
        <v>15.23</v>
      </c>
    </row>
    <row r="1000" spans="1:13" x14ac:dyDescent="0.3">
      <c r="A1000">
        <v>300</v>
      </c>
      <c r="B1000">
        <v>300</v>
      </c>
      <c r="C1000">
        <v>300</v>
      </c>
      <c r="D1000">
        <v>300</v>
      </c>
      <c r="E1000">
        <v>300</v>
      </c>
      <c r="F1000">
        <v>300</v>
      </c>
      <c r="G1000">
        <v>300</v>
      </c>
      <c r="H1000">
        <v>300</v>
      </c>
      <c r="I1000">
        <v>300</v>
      </c>
      <c r="J1000">
        <v>300</v>
      </c>
      <c r="K1000">
        <v>300</v>
      </c>
    </row>
    <row r="1001" spans="1:13" x14ac:dyDescent="0.3">
      <c r="A1001">
        <v>191</v>
      </c>
      <c r="B1001">
        <v>191</v>
      </c>
      <c r="C1001">
        <v>191</v>
      </c>
      <c r="D1001">
        <v>191</v>
      </c>
      <c r="E1001">
        <v>191</v>
      </c>
      <c r="F1001">
        <v>191</v>
      </c>
      <c r="G1001">
        <v>191</v>
      </c>
      <c r="H1001">
        <v>191</v>
      </c>
      <c r="I1001">
        <v>191</v>
      </c>
      <c r="J1001">
        <v>191</v>
      </c>
      <c r="K1001">
        <v>191</v>
      </c>
    </row>
    <row r="1002" spans="1:13" x14ac:dyDescent="0.3">
      <c r="A1002">
        <v>193.5</v>
      </c>
      <c r="B1002">
        <v>193.5</v>
      </c>
      <c r="C1002">
        <v>193.5</v>
      </c>
      <c r="D1002">
        <v>193.5</v>
      </c>
      <c r="E1002">
        <v>193.5</v>
      </c>
      <c r="F1002">
        <v>193.5</v>
      </c>
      <c r="G1002">
        <v>193.5</v>
      </c>
      <c r="H1002">
        <v>193.5</v>
      </c>
      <c r="I1002">
        <v>193.5</v>
      </c>
      <c r="J1002">
        <v>193.5</v>
      </c>
      <c r="K1002">
        <v>193.5</v>
      </c>
    </row>
    <row r="1003" spans="1:13" x14ac:dyDescent="0.3">
      <c r="A1003">
        <v>100</v>
      </c>
      <c r="B1003">
        <v>100</v>
      </c>
      <c r="C1003">
        <v>100</v>
      </c>
      <c r="D1003">
        <v>100</v>
      </c>
      <c r="E1003">
        <v>100</v>
      </c>
      <c r="F1003">
        <v>100</v>
      </c>
      <c r="G1003">
        <v>100</v>
      </c>
      <c r="H1003">
        <v>100</v>
      </c>
      <c r="I1003">
        <v>100</v>
      </c>
      <c r="J1003">
        <v>100</v>
      </c>
      <c r="K1003">
        <v>100</v>
      </c>
    </row>
    <row r="1004" spans="1:13" x14ac:dyDescent="0.3">
      <c r="A1004" t="s">
        <v>24</v>
      </c>
      <c r="B1004" t="s">
        <v>24</v>
      </c>
      <c r="C1004" t="s">
        <v>24</v>
      </c>
      <c r="D1004" t="s">
        <v>24</v>
      </c>
      <c r="E1004" t="s">
        <v>24</v>
      </c>
      <c r="F1004" t="s">
        <v>24</v>
      </c>
      <c r="G1004" t="s">
        <v>24</v>
      </c>
      <c r="H1004" t="s">
        <v>24</v>
      </c>
      <c r="I1004" t="s">
        <v>24</v>
      </c>
      <c r="J1004" t="s">
        <v>24</v>
      </c>
      <c r="K1004" t="s">
        <v>24</v>
      </c>
    </row>
    <row r="1005" spans="1:13" x14ac:dyDescent="0.3">
      <c r="A1005">
        <v>3169899</v>
      </c>
      <c r="B1005">
        <v>3169899</v>
      </c>
      <c r="C1005">
        <v>3169899</v>
      </c>
      <c r="D1005">
        <v>3169899</v>
      </c>
      <c r="E1005">
        <v>3169899</v>
      </c>
      <c r="F1005">
        <v>3169899</v>
      </c>
      <c r="G1005">
        <v>3169899</v>
      </c>
      <c r="H1005">
        <v>3169899</v>
      </c>
      <c r="I1005">
        <v>3169899</v>
      </c>
      <c r="J1005">
        <v>3169899</v>
      </c>
      <c r="K1005">
        <v>3169899</v>
      </c>
    </row>
    <row r="1006" spans="1:13" x14ac:dyDescent="0.3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</row>
    <row r="1007" spans="1:13" x14ac:dyDescent="0.3">
      <c r="A1007" t="s">
        <v>19</v>
      </c>
      <c r="B1007" t="s">
        <v>19</v>
      </c>
      <c r="C1007" t="s">
        <v>19</v>
      </c>
      <c r="D1007" t="s">
        <v>19</v>
      </c>
      <c r="E1007" t="s">
        <v>19</v>
      </c>
      <c r="F1007" t="s">
        <v>19</v>
      </c>
      <c r="G1007" t="s">
        <v>19</v>
      </c>
      <c r="H1007" t="s">
        <v>19</v>
      </c>
      <c r="I1007" t="s">
        <v>19</v>
      </c>
      <c r="J1007" t="s">
        <v>19</v>
      </c>
      <c r="K1007" t="s">
        <v>19</v>
      </c>
    </row>
    <row r="1008" spans="1:13" x14ac:dyDescent="0.3">
      <c r="A1008" t="s">
        <v>20</v>
      </c>
      <c r="B1008" t="s">
        <v>20</v>
      </c>
      <c r="C1008" t="s">
        <v>20</v>
      </c>
      <c r="D1008" t="s">
        <v>20</v>
      </c>
      <c r="E1008" t="s">
        <v>20</v>
      </c>
      <c r="F1008" t="s">
        <v>20</v>
      </c>
      <c r="G1008" t="s">
        <v>20</v>
      </c>
      <c r="H1008" t="s">
        <v>20</v>
      </c>
      <c r="I1008" t="s">
        <v>20</v>
      </c>
      <c r="J1008" t="s">
        <v>20</v>
      </c>
      <c r="K1008" t="s">
        <v>20</v>
      </c>
    </row>
    <row r="1009" spans="1:13" x14ac:dyDescent="0.3">
      <c r="A1009" t="s">
        <v>15</v>
      </c>
      <c r="B1009" t="s">
        <v>15</v>
      </c>
      <c r="C1009" t="s">
        <v>15</v>
      </c>
      <c r="D1009" t="s">
        <v>15</v>
      </c>
      <c r="E1009" t="s">
        <v>15</v>
      </c>
      <c r="F1009" t="s">
        <v>15</v>
      </c>
      <c r="G1009" t="s">
        <v>15</v>
      </c>
      <c r="H1009" t="s">
        <v>15</v>
      </c>
      <c r="I1009" t="s">
        <v>15</v>
      </c>
      <c r="J1009" t="s">
        <v>15</v>
      </c>
      <c r="K1009" t="s">
        <v>15</v>
      </c>
      <c r="L1009" t="s">
        <v>16</v>
      </c>
      <c r="M1009" t="s">
        <v>17</v>
      </c>
    </row>
    <row r="1010" spans="1:13" x14ac:dyDescent="0.3">
      <c r="A1010">
        <v>6.1050000000000004</v>
      </c>
      <c r="B1010">
        <v>6.1050000000000004</v>
      </c>
      <c r="C1010">
        <v>6.1050000000000004</v>
      </c>
      <c r="D1010">
        <v>6.1050000000000004</v>
      </c>
      <c r="E1010">
        <v>6.1050000000000004</v>
      </c>
      <c r="F1010">
        <v>6.1050000000000004</v>
      </c>
      <c r="G1010">
        <v>6.1050000000000004</v>
      </c>
      <c r="H1010">
        <v>6.1050000000000004</v>
      </c>
      <c r="I1010">
        <v>6.1050000000000004</v>
      </c>
      <c r="J1010">
        <v>6.1050000000000004</v>
      </c>
      <c r="K1010">
        <v>6.1050000000000004</v>
      </c>
    </row>
    <row r="1011" spans="1:13" x14ac:dyDescent="0.3">
      <c r="A1011">
        <v>-0.25</v>
      </c>
      <c r="B1011">
        <v>-0.25</v>
      </c>
      <c r="C1011">
        <v>-0.25</v>
      </c>
      <c r="D1011">
        <v>-0.25</v>
      </c>
      <c r="E1011">
        <v>-0.25</v>
      </c>
      <c r="F1011">
        <v>-0.25</v>
      </c>
      <c r="G1011">
        <v>-0.25</v>
      </c>
      <c r="H1011">
        <v>-0.25</v>
      </c>
      <c r="I1011">
        <v>-0.25</v>
      </c>
      <c r="J1011">
        <v>-0.25</v>
      </c>
      <c r="K1011">
        <v>-0.25</v>
      </c>
    </row>
    <row r="1012" spans="1:13" x14ac:dyDescent="0.3">
      <c r="A1012">
        <v>20000</v>
      </c>
      <c r="B1012">
        <v>20000</v>
      </c>
      <c r="C1012">
        <v>20000</v>
      </c>
      <c r="D1012">
        <v>20000</v>
      </c>
      <c r="E1012">
        <v>20000</v>
      </c>
      <c r="F1012">
        <v>20000</v>
      </c>
      <c r="G1012">
        <v>20000</v>
      </c>
      <c r="H1012">
        <v>20000</v>
      </c>
      <c r="I1012">
        <v>20000</v>
      </c>
      <c r="J1012">
        <v>20000</v>
      </c>
      <c r="K1012">
        <v>20000</v>
      </c>
    </row>
    <row r="1013" spans="1:13" x14ac:dyDescent="0.3">
      <c r="A1013">
        <v>6.09</v>
      </c>
      <c r="B1013">
        <v>6.09</v>
      </c>
      <c r="C1013">
        <v>6.09</v>
      </c>
      <c r="D1013">
        <v>6.09</v>
      </c>
      <c r="E1013">
        <v>6.09</v>
      </c>
      <c r="F1013">
        <v>6.09</v>
      </c>
      <c r="G1013">
        <v>6.09</v>
      </c>
      <c r="H1013">
        <v>6.09</v>
      </c>
      <c r="I1013">
        <v>6.09</v>
      </c>
      <c r="J1013">
        <v>6.09</v>
      </c>
      <c r="K1013">
        <v>6.09</v>
      </c>
    </row>
    <row r="1014" spans="1:13" x14ac:dyDescent="0.3">
      <c r="A1014">
        <v>6.11</v>
      </c>
      <c r="B1014">
        <v>6.11</v>
      </c>
      <c r="C1014">
        <v>6.11</v>
      </c>
      <c r="D1014">
        <v>6.11</v>
      </c>
      <c r="E1014">
        <v>6.11</v>
      </c>
      <c r="F1014">
        <v>6.11</v>
      </c>
      <c r="G1014">
        <v>6.11</v>
      </c>
      <c r="H1014">
        <v>6.11</v>
      </c>
      <c r="I1014">
        <v>6.11</v>
      </c>
      <c r="J1014">
        <v>6.11</v>
      </c>
      <c r="K1014">
        <v>6.11</v>
      </c>
    </row>
    <row r="1015" spans="1:13" x14ac:dyDescent="0.3">
      <c r="A1015">
        <v>6100</v>
      </c>
      <c r="B1015">
        <v>6100</v>
      </c>
      <c r="C1015">
        <v>6100</v>
      </c>
      <c r="D1015">
        <v>6100</v>
      </c>
      <c r="E1015">
        <v>6100</v>
      </c>
      <c r="F1015">
        <v>6100</v>
      </c>
      <c r="G1015">
        <v>6100</v>
      </c>
      <c r="H1015">
        <v>6100</v>
      </c>
      <c r="I1015">
        <v>6100</v>
      </c>
      <c r="J1015">
        <v>6100</v>
      </c>
      <c r="K1015">
        <v>6100</v>
      </c>
    </row>
    <row r="1016" spans="1:13" x14ac:dyDescent="0.3">
      <c r="A1016" t="s">
        <v>45</v>
      </c>
      <c r="B1016" t="s">
        <v>45</v>
      </c>
      <c r="C1016" t="s">
        <v>45</v>
      </c>
      <c r="D1016" t="s">
        <v>45</v>
      </c>
      <c r="E1016" t="s">
        <v>45</v>
      </c>
      <c r="F1016" t="s">
        <v>45</v>
      </c>
      <c r="G1016" t="s">
        <v>45</v>
      </c>
      <c r="H1016" t="s">
        <v>45</v>
      </c>
      <c r="I1016" t="s">
        <v>45</v>
      </c>
      <c r="J1016" t="s">
        <v>45</v>
      </c>
      <c r="K1016" t="s">
        <v>45</v>
      </c>
    </row>
    <row r="1017" spans="1:13" x14ac:dyDescent="0.3">
      <c r="A1017">
        <v>29469495</v>
      </c>
      <c r="B1017">
        <v>29469495</v>
      </c>
      <c r="C1017">
        <v>29469495</v>
      </c>
      <c r="D1017">
        <v>29469495</v>
      </c>
      <c r="E1017">
        <v>29469495</v>
      </c>
      <c r="F1017">
        <v>29469495</v>
      </c>
      <c r="G1017">
        <v>29469495</v>
      </c>
      <c r="H1017">
        <v>29469495</v>
      </c>
      <c r="I1017">
        <v>29469495</v>
      </c>
      <c r="J1017">
        <v>29469495</v>
      </c>
      <c r="K1017">
        <v>29469495</v>
      </c>
    </row>
    <row r="1018" spans="1:13" x14ac:dyDescent="0.3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</row>
    <row r="1019" spans="1:13" x14ac:dyDescent="0.3">
      <c r="A1019" t="s">
        <v>19</v>
      </c>
      <c r="B1019" t="s">
        <v>19</v>
      </c>
      <c r="C1019" t="s">
        <v>19</v>
      </c>
      <c r="D1019" t="s">
        <v>19</v>
      </c>
      <c r="E1019" t="s">
        <v>19</v>
      </c>
      <c r="F1019" t="s">
        <v>19</v>
      </c>
      <c r="G1019" t="s">
        <v>19</v>
      </c>
      <c r="H1019" t="s">
        <v>19</v>
      </c>
      <c r="I1019" t="s">
        <v>19</v>
      </c>
      <c r="J1019" t="s">
        <v>19</v>
      </c>
      <c r="K1019" t="s">
        <v>19</v>
      </c>
    </row>
    <row r="1020" spans="1:13" x14ac:dyDescent="0.3">
      <c r="A1020" t="s">
        <v>20</v>
      </c>
      <c r="B1020" t="s">
        <v>20</v>
      </c>
      <c r="C1020" t="s">
        <v>20</v>
      </c>
      <c r="D1020" t="s">
        <v>20</v>
      </c>
      <c r="E1020" t="s">
        <v>20</v>
      </c>
      <c r="F1020" t="s">
        <v>20</v>
      </c>
      <c r="G1020" t="s">
        <v>20</v>
      </c>
      <c r="H1020" t="s">
        <v>20</v>
      </c>
      <c r="I1020" t="s">
        <v>20</v>
      </c>
      <c r="J1020" t="s">
        <v>20</v>
      </c>
      <c r="K1020" t="s">
        <v>20</v>
      </c>
    </row>
    <row r="1021" spans="1:13" x14ac:dyDescent="0.3">
      <c r="A1021" t="s">
        <v>15</v>
      </c>
      <c r="B1021" t="s">
        <v>15</v>
      </c>
      <c r="C1021" t="s">
        <v>15</v>
      </c>
      <c r="D1021" t="s">
        <v>15</v>
      </c>
      <c r="E1021" t="s">
        <v>15</v>
      </c>
      <c r="F1021" t="s">
        <v>15</v>
      </c>
      <c r="G1021" t="s">
        <v>15</v>
      </c>
      <c r="H1021" t="s">
        <v>15</v>
      </c>
      <c r="I1021" t="s">
        <v>15</v>
      </c>
      <c r="J1021" t="s">
        <v>15</v>
      </c>
      <c r="K1021" t="s">
        <v>15</v>
      </c>
      <c r="L1021" t="s">
        <v>16</v>
      </c>
      <c r="M1021" t="s">
        <v>17</v>
      </c>
    </row>
    <row r="1022" spans="1:13" x14ac:dyDescent="0.3">
      <c r="A1022">
        <v>178.95</v>
      </c>
      <c r="B1022">
        <v>178.95</v>
      </c>
      <c r="C1022">
        <v>178.95</v>
      </c>
      <c r="D1022">
        <v>178.95</v>
      </c>
      <c r="E1022">
        <v>178.95</v>
      </c>
      <c r="F1022">
        <v>178.95</v>
      </c>
      <c r="G1022">
        <v>178.95</v>
      </c>
      <c r="H1022">
        <v>178.95</v>
      </c>
      <c r="I1022">
        <v>178.95</v>
      </c>
      <c r="J1022">
        <v>178.95</v>
      </c>
      <c r="K1022">
        <v>178.95</v>
      </c>
    </row>
    <row r="1023" spans="1:13" x14ac:dyDescent="0.3">
      <c r="A1023">
        <v>-0.08</v>
      </c>
      <c r="B1023">
        <v>-0.08</v>
      </c>
      <c r="C1023">
        <v>-0.08</v>
      </c>
      <c r="D1023">
        <v>-0.08</v>
      </c>
      <c r="E1023">
        <v>-0.08</v>
      </c>
      <c r="F1023">
        <v>-0.08</v>
      </c>
      <c r="G1023">
        <v>-0.08</v>
      </c>
      <c r="H1023">
        <v>-0.08</v>
      </c>
      <c r="I1023">
        <v>-0.08</v>
      </c>
      <c r="J1023">
        <v>-0.08</v>
      </c>
      <c r="K1023">
        <v>-0.08</v>
      </c>
    </row>
    <row r="1024" spans="1:13" x14ac:dyDescent="0.3">
      <c r="A1024">
        <v>100</v>
      </c>
      <c r="B1024">
        <v>100</v>
      </c>
      <c r="C1024">
        <v>100</v>
      </c>
      <c r="D1024">
        <v>100</v>
      </c>
      <c r="E1024">
        <v>100</v>
      </c>
      <c r="F1024">
        <v>100</v>
      </c>
      <c r="G1024">
        <v>100</v>
      </c>
      <c r="H1024">
        <v>100</v>
      </c>
      <c r="I1024">
        <v>100</v>
      </c>
      <c r="J1024">
        <v>100</v>
      </c>
      <c r="K1024">
        <v>100</v>
      </c>
    </row>
    <row r="1025" spans="1:13" x14ac:dyDescent="0.3">
      <c r="A1025">
        <v>178.51</v>
      </c>
      <c r="B1025">
        <v>178.51</v>
      </c>
      <c r="C1025">
        <v>178.51</v>
      </c>
      <c r="D1025">
        <v>178.51</v>
      </c>
      <c r="E1025">
        <v>178.51</v>
      </c>
      <c r="F1025">
        <v>178.51</v>
      </c>
      <c r="G1025">
        <v>178.51</v>
      </c>
      <c r="H1025">
        <v>178.51</v>
      </c>
      <c r="I1025">
        <v>178.51</v>
      </c>
      <c r="J1025">
        <v>178.51</v>
      </c>
      <c r="K1025">
        <v>178.51</v>
      </c>
    </row>
    <row r="1026" spans="1:13" x14ac:dyDescent="0.3">
      <c r="A1026">
        <v>179.15</v>
      </c>
      <c r="B1026">
        <v>179.15</v>
      </c>
      <c r="C1026">
        <v>179.15</v>
      </c>
      <c r="D1026">
        <v>179.15</v>
      </c>
      <c r="E1026">
        <v>179.15</v>
      </c>
      <c r="F1026">
        <v>179.15</v>
      </c>
      <c r="G1026">
        <v>179.15</v>
      </c>
      <c r="H1026">
        <v>179.15</v>
      </c>
      <c r="I1026">
        <v>179.15</v>
      </c>
      <c r="J1026">
        <v>179.15</v>
      </c>
      <c r="K1026">
        <v>179.15</v>
      </c>
    </row>
    <row r="1027" spans="1:13" x14ac:dyDescent="0.3">
      <c r="A1027">
        <v>300</v>
      </c>
      <c r="B1027">
        <v>300</v>
      </c>
      <c r="C1027">
        <v>300</v>
      </c>
      <c r="D1027">
        <v>300</v>
      </c>
      <c r="E1027">
        <v>300</v>
      </c>
      <c r="F1027">
        <v>300</v>
      </c>
      <c r="G1027">
        <v>300</v>
      </c>
      <c r="H1027">
        <v>300</v>
      </c>
      <c r="I1027">
        <v>300</v>
      </c>
      <c r="J1027">
        <v>300</v>
      </c>
      <c r="K1027">
        <v>300</v>
      </c>
    </row>
    <row r="1028" spans="1:13" x14ac:dyDescent="0.3">
      <c r="A1028" t="s">
        <v>51</v>
      </c>
      <c r="B1028" t="s">
        <v>51</v>
      </c>
      <c r="C1028" t="s">
        <v>51</v>
      </c>
      <c r="D1028" t="s">
        <v>51</v>
      </c>
      <c r="E1028" t="s">
        <v>51</v>
      </c>
      <c r="F1028" t="s">
        <v>51</v>
      </c>
      <c r="G1028" t="s">
        <v>51</v>
      </c>
      <c r="H1028" t="s">
        <v>51</v>
      </c>
      <c r="I1028" t="s">
        <v>51</v>
      </c>
      <c r="J1028" t="s">
        <v>51</v>
      </c>
      <c r="K1028" t="s">
        <v>51</v>
      </c>
    </row>
    <row r="1029" spans="1:13" x14ac:dyDescent="0.3">
      <c r="A1029">
        <v>2423570</v>
      </c>
      <c r="B1029">
        <v>2423570</v>
      </c>
      <c r="C1029">
        <v>2423570</v>
      </c>
      <c r="D1029">
        <v>2423570</v>
      </c>
      <c r="E1029">
        <v>2423570</v>
      </c>
      <c r="F1029">
        <v>2423570</v>
      </c>
      <c r="G1029">
        <v>2423570</v>
      </c>
      <c r="H1029">
        <v>2423570</v>
      </c>
      <c r="I1029">
        <v>2423570</v>
      </c>
      <c r="J1029">
        <v>2423570</v>
      </c>
      <c r="K1029">
        <v>2423570</v>
      </c>
    </row>
    <row r="1030" spans="1:13" x14ac:dyDescent="0.3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</row>
    <row r="1031" spans="1:13" x14ac:dyDescent="0.3">
      <c r="A1031" t="s">
        <v>19</v>
      </c>
      <c r="B1031" t="s">
        <v>19</v>
      </c>
      <c r="C1031" t="s">
        <v>19</v>
      </c>
      <c r="D1031" t="s">
        <v>19</v>
      </c>
      <c r="E1031" t="s">
        <v>19</v>
      </c>
      <c r="F1031" t="s">
        <v>19</v>
      </c>
      <c r="G1031" t="s">
        <v>19</v>
      </c>
      <c r="H1031" t="s">
        <v>19</v>
      </c>
      <c r="I1031" t="s">
        <v>19</v>
      </c>
      <c r="J1031" t="s">
        <v>19</v>
      </c>
      <c r="K1031" t="s">
        <v>19</v>
      </c>
    </row>
    <row r="1032" spans="1:13" x14ac:dyDescent="0.3">
      <c r="A1032" t="s">
        <v>20</v>
      </c>
      <c r="B1032" t="s">
        <v>20</v>
      </c>
      <c r="C1032" t="s">
        <v>20</v>
      </c>
      <c r="D1032" t="s">
        <v>20</v>
      </c>
      <c r="E1032" t="s">
        <v>20</v>
      </c>
      <c r="F1032" t="s">
        <v>20</v>
      </c>
      <c r="G1032" t="s">
        <v>20</v>
      </c>
      <c r="H1032" t="s">
        <v>20</v>
      </c>
      <c r="I1032" t="s">
        <v>20</v>
      </c>
      <c r="J1032" t="s">
        <v>20</v>
      </c>
      <c r="K1032" t="s">
        <v>20</v>
      </c>
    </row>
    <row r="1033" spans="1:13" x14ac:dyDescent="0.3">
      <c r="A1033" t="s">
        <v>15</v>
      </c>
      <c r="B1033" t="s">
        <v>15</v>
      </c>
      <c r="C1033" t="s">
        <v>15</v>
      </c>
      <c r="D1033" t="s">
        <v>15</v>
      </c>
      <c r="E1033" t="s">
        <v>15</v>
      </c>
      <c r="F1033" t="s">
        <v>15</v>
      </c>
      <c r="G1033" t="s">
        <v>15</v>
      </c>
      <c r="H1033" t="s">
        <v>15</v>
      </c>
      <c r="I1033" t="s">
        <v>15</v>
      </c>
      <c r="J1033" t="s">
        <v>15</v>
      </c>
      <c r="K1033" t="s">
        <v>15</v>
      </c>
      <c r="L1033" t="s">
        <v>16</v>
      </c>
      <c r="M1033" t="s">
        <v>17</v>
      </c>
    </row>
    <row r="1034" spans="1:13" x14ac:dyDescent="0.3">
      <c r="A1034">
        <v>170.24</v>
      </c>
      <c r="B1034">
        <v>170.24</v>
      </c>
      <c r="C1034">
        <v>170.24</v>
      </c>
      <c r="D1034">
        <v>170.24</v>
      </c>
      <c r="E1034">
        <v>170.24</v>
      </c>
      <c r="F1034">
        <v>170.24</v>
      </c>
      <c r="G1034">
        <v>170.24</v>
      </c>
      <c r="H1034">
        <v>170.24</v>
      </c>
      <c r="I1034">
        <v>170.24</v>
      </c>
      <c r="J1034">
        <v>170.24</v>
      </c>
      <c r="K1034">
        <v>170.24</v>
      </c>
    </row>
    <row r="1035" spans="1:13" x14ac:dyDescent="0.3">
      <c r="A1035">
        <v>-1.17</v>
      </c>
      <c r="B1035">
        <v>-1.17</v>
      </c>
      <c r="C1035">
        <v>-1.17</v>
      </c>
      <c r="D1035">
        <v>-1.17</v>
      </c>
      <c r="E1035">
        <v>-1.17</v>
      </c>
      <c r="F1035">
        <v>-1.17</v>
      </c>
      <c r="G1035">
        <v>-1.17</v>
      </c>
      <c r="H1035">
        <v>-1.17</v>
      </c>
      <c r="I1035">
        <v>-1.17</v>
      </c>
      <c r="J1035">
        <v>-1.17</v>
      </c>
      <c r="K1035">
        <v>-1.17</v>
      </c>
    </row>
    <row r="1036" spans="1:13" x14ac:dyDescent="0.3">
      <c r="A1036">
        <v>100</v>
      </c>
      <c r="B1036">
        <v>100</v>
      </c>
      <c r="C1036">
        <v>100</v>
      </c>
      <c r="D1036">
        <v>100</v>
      </c>
      <c r="E1036">
        <v>100</v>
      </c>
      <c r="F1036">
        <v>100</v>
      </c>
      <c r="G1036">
        <v>100</v>
      </c>
      <c r="H1036">
        <v>100</v>
      </c>
      <c r="I1036">
        <v>100</v>
      </c>
      <c r="J1036">
        <v>100</v>
      </c>
      <c r="K1036">
        <v>100</v>
      </c>
    </row>
    <row r="1037" spans="1:13" x14ac:dyDescent="0.3">
      <c r="A1037">
        <v>170.26</v>
      </c>
      <c r="B1037">
        <v>170.26</v>
      </c>
      <c r="C1037">
        <v>170.26</v>
      </c>
      <c r="D1037">
        <v>170.26</v>
      </c>
      <c r="E1037">
        <v>170.26</v>
      </c>
      <c r="F1037">
        <v>170.26</v>
      </c>
      <c r="G1037">
        <v>170.26</v>
      </c>
      <c r="H1037">
        <v>170.26</v>
      </c>
      <c r="I1037">
        <v>170.26</v>
      </c>
      <c r="J1037">
        <v>170.26</v>
      </c>
      <c r="K1037">
        <v>170.26</v>
      </c>
    </row>
    <row r="1038" spans="1:13" x14ac:dyDescent="0.3">
      <c r="A1038">
        <v>170.74</v>
      </c>
      <c r="B1038">
        <v>170.74</v>
      </c>
      <c r="C1038">
        <v>170.74</v>
      </c>
      <c r="D1038">
        <v>170.74</v>
      </c>
      <c r="E1038">
        <v>170.74</v>
      </c>
      <c r="F1038">
        <v>170.74</v>
      </c>
      <c r="G1038">
        <v>170.74</v>
      </c>
      <c r="H1038">
        <v>170.74</v>
      </c>
      <c r="I1038">
        <v>170.74</v>
      </c>
      <c r="J1038">
        <v>170.74</v>
      </c>
      <c r="K1038">
        <v>170.74</v>
      </c>
    </row>
    <row r="1039" spans="1:13" x14ac:dyDescent="0.3">
      <c r="A1039">
        <v>100</v>
      </c>
      <c r="B1039">
        <v>100</v>
      </c>
      <c r="C1039">
        <v>100</v>
      </c>
      <c r="D1039">
        <v>100</v>
      </c>
      <c r="E1039">
        <v>100</v>
      </c>
      <c r="F1039">
        <v>100</v>
      </c>
      <c r="G1039">
        <v>100</v>
      </c>
      <c r="H1039">
        <v>100</v>
      </c>
      <c r="I1039">
        <v>100</v>
      </c>
      <c r="J1039">
        <v>100</v>
      </c>
      <c r="K1039">
        <v>100</v>
      </c>
    </row>
    <row r="1040" spans="1:13" x14ac:dyDescent="0.3">
      <c r="A1040" t="s">
        <v>40</v>
      </c>
      <c r="B1040" t="s">
        <v>40</v>
      </c>
      <c r="C1040" t="s">
        <v>40</v>
      </c>
      <c r="D1040" t="s">
        <v>40</v>
      </c>
      <c r="E1040" t="s">
        <v>40</v>
      </c>
      <c r="F1040" t="s">
        <v>40</v>
      </c>
      <c r="G1040" t="s">
        <v>40</v>
      </c>
      <c r="H1040" t="s">
        <v>40</v>
      </c>
      <c r="I1040" t="s">
        <v>40</v>
      </c>
      <c r="J1040" t="s">
        <v>40</v>
      </c>
      <c r="K1040" t="s">
        <v>40</v>
      </c>
    </row>
    <row r="1041" spans="1:13" x14ac:dyDescent="0.3">
      <c r="A1041">
        <v>2569118</v>
      </c>
      <c r="B1041">
        <v>2569118</v>
      </c>
      <c r="C1041">
        <v>2569118</v>
      </c>
      <c r="D1041">
        <v>2569118</v>
      </c>
      <c r="E1041">
        <v>2569118</v>
      </c>
      <c r="F1041">
        <v>2569118</v>
      </c>
      <c r="G1041">
        <v>2569118</v>
      </c>
      <c r="H1041">
        <v>2569118</v>
      </c>
      <c r="I1041">
        <v>2569118</v>
      </c>
      <c r="J1041">
        <v>2569118</v>
      </c>
      <c r="K1041">
        <v>2569118</v>
      </c>
    </row>
    <row r="1042" spans="1:13" x14ac:dyDescent="0.3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</row>
    <row r="1043" spans="1:13" x14ac:dyDescent="0.3">
      <c r="A1043" t="s">
        <v>19</v>
      </c>
      <c r="B1043" t="s">
        <v>19</v>
      </c>
      <c r="C1043" t="s">
        <v>19</v>
      </c>
      <c r="D1043" t="s">
        <v>19</v>
      </c>
      <c r="E1043" t="s">
        <v>19</v>
      </c>
      <c r="F1043" t="s">
        <v>19</v>
      </c>
      <c r="G1043" t="s">
        <v>19</v>
      </c>
      <c r="H1043" t="s">
        <v>19</v>
      </c>
      <c r="I1043" t="s">
        <v>19</v>
      </c>
      <c r="J1043" t="s">
        <v>19</v>
      </c>
      <c r="K1043" t="s">
        <v>19</v>
      </c>
    </row>
    <row r="1044" spans="1:13" x14ac:dyDescent="0.3">
      <c r="A1044" t="s">
        <v>20</v>
      </c>
      <c r="B1044" t="s">
        <v>20</v>
      </c>
      <c r="C1044" t="s">
        <v>20</v>
      </c>
      <c r="D1044" t="s">
        <v>20</v>
      </c>
      <c r="E1044" t="s">
        <v>20</v>
      </c>
      <c r="F1044" t="s">
        <v>20</v>
      </c>
      <c r="G1044" t="s">
        <v>20</v>
      </c>
      <c r="H1044" t="s">
        <v>20</v>
      </c>
      <c r="I1044" t="s">
        <v>20</v>
      </c>
      <c r="J1044" t="s">
        <v>20</v>
      </c>
      <c r="K1044" t="s">
        <v>20</v>
      </c>
    </row>
    <row r="1045" spans="1:13" x14ac:dyDescent="0.3">
      <c r="A1045" t="s">
        <v>15</v>
      </c>
      <c r="B1045" t="s">
        <v>15</v>
      </c>
      <c r="C1045" t="s">
        <v>15</v>
      </c>
      <c r="D1045" t="s">
        <v>15</v>
      </c>
      <c r="E1045" t="s">
        <v>15</v>
      </c>
      <c r="F1045" t="s">
        <v>15</v>
      </c>
      <c r="G1045" t="s">
        <v>15</v>
      </c>
      <c r="H1045" t="s">
        <v>15</v>
      </c>
      <c r="I1045" t="s">
        <v>15</v>
      </c>
      <c r="J1045" t="s">
        <v>15</v>
      </c>
      <c r="K1045" t="s">
        <v>15</v>
      </c>
      <c r="L1045" t="s">
        <v>16</v>
      </c>
      <c r="M1045" t="s">
        <v>17</v>
      </c>
    </row>
    <row r="1046" spans="1:13" x14ac:dyDescent="0.3">
      <c r="A1046">
        <v>106.48</v>
      </c>
      <c r="B1046">
        <v>106.48</v>
      </c>
      <c r="C1046">
        <v>106.48</v>
      </c>
      <c r="D1046">
        <v>106.48</v>
      </c>
      <c r="E1046">
        <v>106.48</v>
      </c>
      <c r="F1046">
        <v>106.48</v>
      </c>
      <c r="G1046">
        <v>106.48</v>
      </c>
      <c r="H1046">
        <v>106.48</v>
      </c>
      <c r="I1046">
        <v>106.48</v>
      </c>
      <c r="J1046">
        <v>106.48</v>
      </c>
      <c r="K1046">
        <v>106.48</v>
      </c>
    </row>
    <row r="1047" spans="1:13" x14ac:dyDescent="0.3">
      <c r="A1047">
        <v>2.74</v>
      </c>
      <c r="B1047">
        <v>2.74</v>
      </c>
      <c r="C1047">
        <v>2.74</v>
      </c>
      <c r="D1047">
        <v>2.74</v>
      </c>
      <c r="E1047">
        <v>2.74</v>
      </c>
      <c r="F1047">
        <v>2.74</v>
      </c>
      <c r="G1047">
        <v>2.74</v>
      </c>
      <c r="H1047">
        <v>2.74</v>
      </c>
      <c r="I1047">
        <v>2.74</v>
      </c>
      <c r="J1047">
        <v>2.74</v>
      </c>
      <c r="K1047">
        <v>2.74</v>
      </c>
    </row>
    <row r="1048" spans="1:13" x14ac:dyDescent="0.3">
      <c r="A1048">
        <v>100</v>
      </c>
      <c r="B1048">
        <v>100</v>
      </c>
      <c r="C1048">
        <v>100</v>
      </c>
      <c r="D1048">
        <v>100</v>
      </c>
      <c r="E1048">
        <v>100</v>
      </c>
      <c r="F1048">
        <v>100</v>
      </c>
      <c r="G1048">
        <v>100</v>
      </c>
      <c r="H1048">
        <v>100</v>
      </c>
      <c r="I1048">
        <v>100</v>
      </c>
      <c r="J1048">
        <v>100</v>
      </c>
      <c r="K1048">
        <v>100</v>
      </c>
    </row>
    <row r="1049" spans="1:13" x14ac:dyDescent="0.3">
      <c r="A1049">
        <v>106.53</v>
      </c>
      <c r="B1049">
        <v>106.53</v>
      </c>
      <c r="C1049">
        <v>106.53</v>
      </c>
      <c r="D1049">
        <v>106.53</v>
      </c>
      <c r="E1049">
        <v>106.53</v>
      </c>
      <c r="F1049">
        <v>106.53</v>
      </c>
      <c r="G1049">
        <v>106.53</v>
      </c>
      <c r="H1049">
        <v>106.53</v>
      </c>
      <c r="I1049">
        <v>106.53</v>
      </c>
      <c r="J1049">
        <v>106.53</v>
      </c>
      <c r="K1049">
        <v>106.53</v>
      </c>
    </row>
    <row r="1050" spans="1:13" x14ac:dyDescent="0.3">
      <c r="A1050">
        <v>106.79</v>
      </c>
      <c r="B1050">
        <v>106.79</v>
      </c>
      <c r="C1050">
        <v>106.79</v>
      </c>
      <c r="D1050">
        <v>106.79</v>
      </c>
      <c r="E1050">
        <v>106.79</v>
      </c>
      <c r="F1050">
        <v>106.79</v>
      </c>
      <c r="G1050">
        <v>106.79</v>
      </c>
      <c r="H1050">
        <v>106.79</v>
      </c>
      <c r="I1050">
        <v>106.79</v>
      </c>
      <c r="J1050">
        <v>106.79</v>
      </c>
      <c r="K1050">
        <v>106.79</v>
      </c>
    </row>
    <row r="1051" spans="1:13" x14ac:dyDescent="0.3">
      <c r="A1051">
        <v>100</v>
      </c>
      <c r="B1051">
        <v>100</v>
      </c>
      <c r="C1051">
        <v>100</v>
      </c>
      <c r="D1051">
        <v>100</v>
      </c>
      <c r="E1051">
        <v>100</v>
      </c>
      <c r="F1051">
        <v>100</v>
      </c>
      <c r="G1051">
        <v>100</v>
      </c>
      <c r="H1051">
        <v>100</v>
      </c>
      <c r="I1051">
        <v>100</v>
      </c>
      <c r="J1051">
        <v>100</v>
      </c>
      <c r="K1051">
        <v>100</v>
      </c>
    </row>
    <row r="1052" spans="1:13" x14ac:dyDescent="0.3">
      <c r="A1052" t="s">
        <v>18</v>
      </c>
      <c r="B1052" t="s">
        <v>18</v>
      </c>
      <c r="C1052" t="s">
        <v>18</v>
      </c>
      <c r="D1052" t="s">
        <v>18</v>
      </c>
      <c r="E1052" t="s">
        <v>18</v>
      </c>
      <c r="F1052" t="s">
        <v>18</v>
      </c>
      <c r="G1052" t="s">
        <v>18</v>
      </c>
      <c r="H1052" t="s">
        <v>18</v>
      </c>
      <c r="I1052" t="s">
        <v>18</v>
      </c>
      <c r="J1052" t="s">
        <v>18</v>
      </c>
      <c r="K1052" t="s">
        <v>18</v>
      </c>
    </row>
    <row r="1053" spans="1:13" x14ac:dyDescent="0.3">
      <c r="A1053">
        <v>8057579</v>
      </c>
      <c r="B1053">
        <v>8057579</v>
      </c>
      <c r="C1053">
        <v>8057579</v>
      </c>
      <c r="D1053">
        <v>8057579</v>
      </c>
      <c r="E1053">
        <v>8057579</v>
      </c>
      <c r="F1053">
        <v>8057579</v>
      </c>
      <c r="G1053">
        <v>8057579</v>
      </c>
      <c r="H1053">
        <v>8057579</v>
      </c>
      <c r="I1053">
        <v>8057579</v>
      </c>
      <c r="J1053">
        <v>8057579</v>
      </c>
      <c r="K1053">
        <v>8057579</v>
      </c>
    </row>
    <row r="1054" spans="1:13" x14ac:dyDescent="0.3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</row>
    <row r="1055" spans="1:13" x14ac:dyDescent="0.3">
      <c r="A1055" t="s">
        <v>19</v>
      </c>
      <c r="B1055" t="s">
        <v>19</v>
      </c>
      <c r="C1055" t="s">
        <v>19</v>
      </c>
      <c r="D1055" t="s">
        <v>19</v>
      </c>
      <c r="E1055" t="s">
        <v>19</v>
      </c>
      <c r="F1055" t="s">
        <v>19</v>
      </c>
      <c r="G1055" t="s">
        <v>19</v>
      </c>
      <c r="H1055" t="s">
        <v>19</v>
      </c>
      <c r="I1055" t="s">
        <v>19</v>
      </c>
      <c r="J1055" t="s">
        <v>19</v>
      </c>
      <c r="K1055" t="s">
        <v>19</v>
      </c>
    </row>
    <row r="1056" spans="1:13" x14ac:dyDescent="0.3">
      <c r="A1056" t="s">
        <v>20</v>
      </c>
      <c r="B1056" t="s">
        <v>20</v>
      </c>
      <c r="C1056" t="s">
        <v>20</v>
      </c>
      <c r="D1056" t="s">
        <v>20</v>
      </c>
      <c r="E1056" t="s">
        <v>20</v>
      </c>
      <c r="F1056" t="s">
        <v>20</v>
      </c>
      <c r="G1056" t="s">
        <v>20</v>
      </c>
      <c r="H1056" t="s">
        <v>20</v>
      </c>
      <c r="I1056" t="s">
        <v>20</v>
      </c>
      <c r="J1056" t="s">
        <v>20</v>
      </c>
      <c r="K1056" t="s">
        <v>20</v>
      </c>
    </row>
    <row r="1057" spans="1:13" x14ac:dyDescent="0.3">
      <c r="A1057" t="s">
        <v>15</v>
      </c>
      <c r="B1057" t="s">
        <v>15</v>
      </c>
      <c r="C1057" t="s">
        <v>15</v>
      </c>
      <c r="D1057" t="s">
        <v>15</v>
      </c>
      <c r="E1057" t="s">
        <v>15</v>
      </c>
      <c r="F1057" t="s">
        <v>15</v>
      </c>
      <c r="G1057" t="s">
        <v>15</v>
      </c>
      <c r="H1057" t="s">
        <v>15</v>
      </c>
      <c r="I1057" t="s">
        <v>15</v>
      </c>
      <c r="J1057" t="s">
        <v>15</v>
      </c>
      <c r="K1057" t="s">
        <v>15</v>
      </c>
      <c r="L1057" t="s">
        <v>16</v>
      </c>
      <c r="M1057" t="s">
        <v>17</v>
      </c>
    </row>
    <row r="1058" spans="1:13" x14ac:dyDescent="0.3">
      <c r="A1058">
        <v>272.92</v>
      </c>
      <c r="B1058">
        <v>272.92</v>
      </c>
      <c r="C1058">
        <v>272.92</v>
      </c>
      <c r="D1058">
        <v>272.92</v>
      </c>
      <c r="E1058">
        <v>272.92</v>
      </c>
      <c r="F1058">
        <v>272.92</v>
      </c>
      <c r="G1058">
        <v>272.92</v>
      </c>
      <c r="H1058">
        <v>272.92</v>
      </c>
      <c r="I1058">
        <v>272.92</v>
      </c>
      <c r="J1058">
        <v>272.92</v>
      </c>
      <c r="K1058">
        <v>272.92</v>
      </c>
    </row>
    <row r="1059" spans="1:13" x14ac:dyDescent="0.3">
      <c r="A1059">
        <v>1.05</v>
      </c>
      <c r="B1059">
        <v>1.05</v>
      </c>
      <c r="C1059">
        <v>1.05</v>
      </c>
      <c r="D1059">
        <v>1.05</v>
      </c>
      <c r="E1059">
        <v>1.05</v>
      </c>
      <c r="F1059">
        <v>1.05</v>
      </c>
      <c r="G1059">
        <v>1.05</v>
      </c>
      <c r="H1059">
        <v>1.05</v>
      </c>
      <c r="I1059">
        <v>1.05</v>
      </c>
      <c r="J1059">
        <v>1.05</v>
      </c>
      <c r="K1059">
        <v>1.05</v>
      </c>
    </row>
    <row r="1060" spans="1:13" x14ac:dyDescent="0.3">
      <c r="A1060">
        <v>100</v>
      </c>
      <c r="B1060">
        <v>100</v>
      </c>
      <c r="C1060">
        <v>100</v>
      </c>
      <c r="D1060">
        <v>100</v>
      </c>
      <c r="E1060">
        <v>100</v>
      </c>
      <c r="F1060">
        <v>100</v>
      </c>
      <c r="G1060">
        <v>100</v>
      </c>
      <c r="H1060">
        <v>100</v>
      </c>
      <c r="I1060">
        <v>100</v>
      </c>
      <c r="J1060">
        <v>100</v>
      </c>
      <c r="K1060">
        <v>100</v>
      </c>
    </row>
    <row r="1061" spans="1:13" x14ac:dyDescent="0.3">
      <c r="A1061">
        <v>267.2</v>
      </c>
      <c r="B1061">
        <v>267.2</v>
      </c>
      <c r="C1061">
        <v>267.2</v>
      </c>
      <c r="D1061">
        <v>267.2</v>
      </c>
      <c r="E1061">
        <v>267.2</v>
      </c>
      <c r="F1061">
        <v>267.2</v>
      </c>
      <c r="G1061">
        <v>267.2</v>
      </c>
      <c r="H1061">
        <v>267.2</v>
      </c>
      <c r="I1061">
        <v>267.2</v>
      </c>
      <c r="J1061">
        <v>267.2</v>
      </c>
      <c r="K1061">
        <v>267.2</v>
      </c>
    </row>
    <row r="1062" spans="1:13" x14ac:dyDescent="0.3">
      <c r="A1062">
        <v>274.58999999999997</v>
      </c>
      <c r="B1062">
        <v>274.58999999999997</v>
      </c>
      <c r="C1062">
        <v>274.58999999999997</v>
      </c>
      <c r="D1062">
        <v>274.58999999999997</v>
      </c>
      <c r="E1062">
        <v>274.58999999999997</v>
      </c>
      <c r="F1062">
        <v>274.58999999999997</v>
      </c>
      <c r="G1062">
        <v>274.58999999999997</v>
      </c>
      <c r="H1062">
        <v>274.58999999999997</v>
      </c>
      <c r="I1062">
        <v>274.58999999999997</v>
      </c>
      <c r="J1062">
        <v>274.58999999999997</v>
      </c>
      <c r="K1062">
        <v>274.58999999999997</v>
      </c>
    </row>
    <row r="1063" spans="1:13" x14ac:dyDescent="0.3">
      <c r="A1063">
        <v>100</v>
      </c>
      <c r="B1063">
        <v>100</v>
      </c>
      <c r="C1063">
        <v>100</v>
      </c>
      <c r="D1063">
        <v>100</v>
      </c>
      <c r="E1063">
        <v>100</v>
      </c>
      <c r="F1063">
        <v>100</v>
      </c>
      <c r="G1063">
        <v>100</v>
      </c>
      <c r="H1063">
        <v>100</v>
      </c>
      <c r="I1063">
        <v>100</v>
      </c>
      <c r="J1063">
        <v>100</v>
      </c>
      <c r="K1063">
        <v>100</v>
      </c>
    </row>
    <row r="1064" spans="1:13" x14ac:dyDescent="0.3">
      <c r="A1064" t="s">
        <v>42</v>
      </c>
      <c r="B1064" t="s">
        <v>42</v>
      </c>
      <c r="C1064" t="s">
        <v>42</v>
      </c>
      <c r="D1064" t="s">
        <v>42</v>
      </c>
      <c r="E1064" t="s">
        <v>42</v>
      </c>
      <c r="F1064" t="s">
        <v>42</v>
      </c>
      <c r="G1064" t="s">
        <v>42</v>
      </c>
      <c r="H1064" t="s">
        <v>42</v>
      </c>
      <c r="I1064" t="s">
        <v>42</v>
      </c>
      <c r="J1064" t="s">
        <v>42</v>
      </c>
      <c r="K1064" t="s">
        <v>42</v>
      </c>
    </row>
    <row r="1065" spans="1:13" x14ac:dyDescent="0.3">
      <c r="A1065">
        <v>600621</v>
      </c>
      <c r="B1065">
        <v>600621</v>
      </c>
      <c r="C1065">
        <v>600621</v>
      </c>
      <c r="D1065">
        <v>600621</v>
      </c>
      <c r="E1065">
        <v>600621</v>
      </c>
      <c r="F1065">
        <v>600621</v>
      </c>
      <c r="G1065">
        <v>600621</v>
      </c>
      <c r="H1065">
        <v>600621</v>
      </c>
      <c r="I1065">
        <v>600621</v>
      </c>
      <c r="J1065">
        <v>600621</v>
      </c>
      <c r="K1065">
        <v>600621</v>
      </c>
    </row>
    <row r="1066" spans="1:13" x14ac:dyDescent="0.3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</row>
    <row r="1067" spans="1:13" x14ac:dyDescent="0.3">
      <c r="A1067" t="s">
        <v>19</v>
      </c>
      <c r="B1067" t="s">
        <v>19</v>
      </c>
      <c r="C1067" t="s">
        <v>19</v>
      </c>
      <c r="D1067" t="s">
        <v>19</v>
      </c>
      <c r="E1067" t="s">
        <v>19</v>
      </c>
      <c r="F1067" t="s">
        <v>19</v>
      </c>
      <c r="G1067" t="s">
        <v>19</v>
      </c>
      <c r="H1067" t="s">
        <v>19</v>
      </c>
      <c r="I1067" t="s">
        <v>19</v>
      </c>
      <c r="J1067" t="s">
        <v>19</v>
      </c>
      <c r="K1067" t="s">
        <v>19</v>
      </c>
    </row>
    <row r="1068" spans="1:13" x14ac:dyDescent="0.3">
      <c r="A1068" t="s">
        <v>20</v>
      </c>
      <c r="B1068" t="s">
        <v>20</v>
      </c>
      <c r="C1068" t="s">
        <v>20</v>
      </c>
      <c r="D1068" t="s">
        <v>20</v>
      </c>
      <c r="E1068" t="s">
        <v>20</v>
      </c>
      <c r="F1068" t="s">
        <v>20</v>
      </c>
      <c r="G1068" t="s">
        <v>20</v>
      </c>
      <c r="H1068" t="s">
        <v>20</v>
      </c>
      <c r="I1068" t="s">
        <v>20</v>
      </c>
      <c r="J1068" t="s">
        <v>20</v>
      </c>
      <c r="K1068" t="s">
        <v>20</v>
      </c>
    </row>
    <row r="1069" spans="1:13" x14ac:dyDescent="0.3">
      <c r="A1069" t="s">
        <v>15</v>
      </c>
      <c r="B1069" t="s">
        <v>15</v>
      </c>
      <c r="C1069" t="s">
        <v>15</v>
      </c>
      <c r="D1069" t="s">
        <v>15</v>
      </c>
      <c r="E1069" t="s">
        <v>15</v>
      </c>
      <c r="F1069" t="s">
        <v>15</v>
      </c>
      <c r="G1069" t="s">
        <v>15</v>
      </c>
      <c r="H1069" t="s">
        <v>15</v>
      </c>
      <c r="I1069" t="s">
        <v>15</v>
      </c>
      <c r="J1069" t="s">
        <v>15</v>
      </c>
      <c r="K1069" t="s">
        <v>15</v>
      </c>
      <c r="L1069" t="s">
        <v>16</v>
      </c>
      <c r="M1069" t="s">
        <v>17</v>
      </c>
    </row>
    <row r="1070" spans="1:13" x14ac:dyDescent="0.3">
      <c r="A1070">
        <v>125.28</v>
      </c>
      <c r="B1070">
        <v>125.28</v>
      </c>
      <c r="C1070">
        <v>125.28</v>
      </c>
      <c r="D1070">
        <v>125.28</v>
      </c>
      <c r="E1070">
        <v>125.28</v>
      </c>
      <c r="F1070">
        <v>125.28</v>
      </c>
      <c r="G1070">
        <v>125.28</v>
      </c>
      <c r="H1070">
        <v>125.28</v>
      </c>
      <c r="I1070">
        <v>125.28</v>
      </c>
      <c r="J1070">
        <v>125.28</v>
      </c>
      <c r="K1070">
        <v>125.28</v>
      </c>
    </row>
    <row r="1071" spans="1:13" x14ac:dyDescent="0.3">
      <c r="A1071">
        <v>-4.07</v>
      </c>
      <c r="B1071">
        <v>-4.07</v>
      </c>
      <c r="C1071">
        <v>-4.07</v>
      </c>
      <c r="D1071">
        <v>-4.07</v>
      </c>
      <c r="E1071">
        <v>-4.07</v>
      </c>
      <c r="F1071">
        <v>-4.07</v>
      </c>
      <c r="G1071">
        <v>-4.07</v>
      </c>
      <c r="H1071">
        <v>-4.07</v>
      </c>
      <c r="I1071">
        <v>-4.07</v>
      </c>
      <c r="J1071">
        <v>-4.07</v>
      </c>
      <c r="K1071">
        <v>-4.07</v>
      </c>
    </row>
    <row r="1072" spans="1:13" x14ac:dyDescent="0.3">
      <c r="A1072">
        <v>100</v>
      </c>
      <c r="B1072">
        <v>100</v>
      </c>
      <c r="C1072">
        <v>100</v>
      </c>
      <c r="D1072">
        <v>100</v>
      </c>
      <c r="E1072">
        <v>100</v>
      </c>
      <c r="F1072">
        <v>100</v>
      </c>
      <c r="G1072">
        <v>100</v>
      </c>
      <c r="H1072">
        <v>100</v>
      </c>
      <c r="I1072">
        <v>100</v>
      </c>
      <c r="J1072">
        <v>100</v>
      </c>
      <c r="K1072">
        <v>100</v>
      </c>
    </row>
    <row r="1073" spans="1:13" x14ac:dyDescent="0.3">
      <c r="A1073">
        <v>125.6</v>
      </c>
      <c r="B1073">
        <v>125.6</v>
      </c>
      <c r="C1073">
        <v>125.6</v>
      </c>
      <c r="D1073">
        <v>125.6</v>
      </c>
      <c r="E1073">
        <v>125.6</v>
      </c>
      <c r="F1073">
        <v>125.6</v>
      </c>
      <c r="G1073">
        <v>125.6</v>
      </c>
      <c r="H1073">
        <v>125.6</v>
      </c>
      <c r="I1073">
        <v>125.6</v>
      </c>
      <c r="J1073">
        <v>125.6</v>
      </c>
      <c r="K1073">
        <v>125.6</v>
      </c>
    </row>
    <row r="1074" spans="1:13" x14ac:dyDescent="0.3">
      <c r="A1074">
        <v>125.95</v>
      </c>
      <c r="B1074">
        <v>125.95</v>
      </c>
      <c r="C1074">
        <v>125.95</v>
      </c>
      <c r="D1074">
        <v>125.95</v>
      </c>
      <c r="E1074">
        <v>125.95</v>
      </c>
      <c r="F1074">
        <v>125.95</v>
      </c>
      <c r="G1074">
        <v>125.95</v>
      </c>
      <c r="H1074">
        <v>125.95</v>
      </c>
      <c r="I1074">
        <v>125.95</v>
      </c>
      <c r="J1074">
        <v>125.95</v>
      </c>
      <c r="K1074">
        <v>125.95</v>
      </c>
    </row>
    <row r="1075" spans="1:13" x14ac:dyDescent="0.3">
      <c r="A1075">
        <v>400</v>
      </c>
      <c r="B1075">
        <v>400</v>
      </c>
      <c r="C1075">
        <v>400</v>
      </c>
      <c r="D1075">
        <v>400</v>
      </c>
      <c r="E1075">
        <v>400</v>
      </c>
      <c r="F1075">
        <v>400</v>
      </c>
      <c r="G1075">
        <v>400</v>
      </c>
      <c r="H1075">
        <v>400</v>
      </c>
      <c r="I1075">
        <v>400</v>
      </c>
      <c r="J1075">
        <v>400</v>
      </c>
      <c r="K1075">
        <v>400</v>
      </c>
    </row>
    <row r="1076" spans="1:13" x14ac:dyDescent="0.3">
      <c r="A1076" t="s">
        <v>32</v>
      </c>
      <c r="B1076" t="s">
        <v>32</v>
      </c>
      <c r="C1076" t="s">
        <v>32</v>
      </c>
      <c r="D1076" t="s">
        <v>32</v>
      </c>
      <c r="E1076" t="s">
        <v>32</v>
      </c>
      <c r="F1076" t="s">
        <v>32</v>
      </c>
      <c r="G1076" t="s">
        <v>32</v>
      </c>
      <c r="H1076" t="s">
        <v>32</v>
      </c>
      <c r="I1076" t="s">
        <v>32</v>
      </c>
      <c r="J1076" t="s">
        <v>32</v>
      </c>
      <c r="K1076" t="s">
        <v>32</v>
      </c>
    </row>
    <row r="1077" spans="1:13" x14ac:dyDescent="0.3">
      <c r="A1077">
        <v>10305241</v>
      </c>
      <c r="B1077">
        <v>10305241</v>
      </c>
      <c r="C1077">
        <v>10305241</v>
      </c>
      <c r="D1077">
        <v>10305241</v>
      </c>
      <c r="E1077">
        <v>10305241</v>
      </c>
      <c r="F1077">
        <v>10305241</v>
      </c>
      <c r="G1077">
        <v>10305241</v>
      </c>
      <c r="H1077">
        <v>10305241</v>
      </c>
      <c r="I1077">
        <v>10305241</v>
      </c>
      <c r="J1077">
        <v>10305241</v>
      </c>
      <c r="K1077">
        <v>10305241</v>
      </c>
    </row>
    <row r="1078" spans="1:13" x14ac:dyDescent="0.3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</row>
    <row r="1079" spans="1:13" x14ac:dyDescent="0.3">
      <c r="A1079" t="s">
        <v>19</v>
      </c>
      <c r="B1079" t="s">
        <v>19</v>
      </c>
      <c r="C1079" t="s">
        <v>19</v>
      </c>
      <c r="D1079" t="s">
        <v>19</v>
      </c>
      <c r="E1079" t="s">
        <v>19</v>
      </c>
      <c r="F1079" t="s">
        <v>19</v>
      </c>
      <c r="G1079" t="s">
        <v>19</v>
      </c>
      <c r="H1079" t="s">
        <v>19</v>
      </c>
      <c r="I1079" t="s">
        <v>19</v>
      </c>
      <c r="J1079" t="s">
        <v>19</v>
      </c>
      <c r="K1079" t="s">
        <v>19</v>
      </c>
    </row>
    <row r="1080" spans="1:13" x14ac:dyDescent="0.3">
      <c r="A1080" t="s">
        <v>20</v>
      </c>
      <c r="B1080" t="s">
        <v>20</v>
      </c>
      <c r="C1080" t="s">
        <v>20</v>
      </c>
      <c r="D1080" t="s">
        <v>20</v>
      </c>
      <c r="E1080" t="s">
        <v>20</v>
      </c>
      <c r="F1080" t="s">
        <v>20</v>
      </c>
      <c r="G1080" t="s">
        <v>20</v>
      </c>
      <c r="H1080" t="s">
        <v>20</v>
      </c>
      <c r="I1080" t="s">
        <v>20</v>
      </c>
      <c r="J1080" t="s">
        <v>20</v>
      </c>
      <c r="K1080" t="s">
        <v>20</v>
      </c>
    </row>
    <row r="1081" spans="1:13" x14ac:dyDescent="0.3">
      <c r="A1081" t="s">
        <v>15</v>
      </c>
      <c r="B1081" t="s">
        <v>15</v>
      </c>
      <c r="C1081" t="s">
        <v>15</v>
      </c>
      <c r="D1081" t="s">
        <v>15</v>
      </c>
      <c r="E1081" t="s">
        <v>15</v>
      </c>
      <c r="F1081" t="s">
        <v>15</v>
      </c>
      <c r="G1081" t="s">
        <v>15</v>
      </c>
      <c r="H1081" t="s">
        <v>15</v>
      </c>
      <c r="I1081" t="s">
        <v>15</v>
      </c>
      <c r="J1081" t="s">
        <v>15</v>
      </c>
      <c r="K1081" t="s">
        <v>15</v>
      </c>
      <c r="L1081" t="s">
        <v>16</v>
      </c>
      <c r="M1081" t="s">
        <v>17</v>
      </c>
    </row>
    <row r="1082" spans="1:13" x14ac:dyDescent="0.3">
      <c r="A1082">
        <v>852.23</v>
      </c>
      <c r="B1082">
        <v>852.23</v>
      </c>
      <c r="C1082">
        <v>852.23</v>
      </c>
      <c r="D1082">
        <v>852.23</v>
      </c>
      <c r="E1082">
        <v>852.23</v>
      </c>
      <c r="F1082">
        <v>852.23</v>
      </c>
      <c r="G1082">
        <v>852.23</v>
      </c>
      <c r="H1082">
        <v>852.23</v>
      </c>
      <c r="I1082">
        <v>852.23</v>
      </c>
      <c r="J1082">
        <v>852.23</v>
      </c>
      <c r="K1082">
        <v>852.23</v>
      </c>
    </row>
    <row r="1083" spans="1:13" x14ac:dyDescent="0.3">
      <c r="A1083">
        <v>0.26</v>
      </c>
      <c r="B1083">
        <v>0.26</v>
      </c>
      <c r="C1083">
        <v>0.26</v>
      </c>
      <c r="D1083">
        <v>0.26</v>
      </c>
      <c r="E1083">
        <v>0.26</v>
      </c>
      <c r="F1083">
        <v>0.26</v>
      </c>
      <c r="G1083">
        <v>0.26</v>
      </c>
      <c r="H1083">
        <v>0.26</v>
      </c>
      <c r="I1083">
        <v>0.26</v>
      </c>
      <c r="J1083">
        <v>0.26</v>
      </c>
      <c r="K1083">
        <v>0.26</v>
      </c>
    </row>
    <row r="1084" spans="1:13" x14ac:dyDescent="0.3">
      <c r="A1084">
        <v>9600</v>
      </c>
      <c r="B1084">
        <v>9600</v>
      </c>
      <c r="C1084">
        <v>9600</v>
      </c>
      <c r="D1084">
        <v>9600</v>
      </c>
      <c r="E1084">
        <v>9600</v>
      </c>
      <c r="F1084">
        <v>9600</v>
      </c>
      <c r="G1084">
        <v>9600</v>
      </c>
      <c r="H1084">
        <v>9600</v>
      </c>
      <c r="I1084">
        <v>9600</v>
      </c>
      <c r="J1084">
        <v>9600</v>
      </c>
      <c r="K1084">
        <v>9600</v>
      </c>
    </row>
    <row r="1085" spans="1:13" x14ac:dyDescent="0.3">
      <c r="A1085">
        <v>852</v>
      </c>
      <c r="B1085">
        <v>852</v>
      </c>
      <c r="C1085">
        <v>852</v>
      </c>
      <c r="D1085">
        <v>852</v>
      </c>
      <c r="E1085">
        <v>852</v>
      </c>
      <c r="F1085">
        <v>852</v>
      </c>
      <c r="G1085">
        <v>852</v>
      </c>
      <c r="H1085">
        <v>852</v>
      </c>
      <c r="I1085">
        <v>852</v>
      </c>
      <c r="J1085">
        <v>852</v>
      </c>
      <c r="K1085">
        <v>852</v>
      </c>
    </row>
    <row r="1086" spans="1:13" x14ac:dyDescent="0.3">
      <c r="A1086">
        <v>852.45</v>
      </c>
      <c r="B1086">
        <v>852.45</v>
      </c>
      <c r="C1086">
        <v>852.45</v>
      </c>
      <c r="D1086">
        <v>852.45</v>
      </c>
      <c r="E1086">
        <v>852.45</v>
      </c>
      <c r="F1086">
        <v>852.45</v>
      </c>
      <c r="G1086">
        <v>852.45</v>
      </c>
      <c r="H1086">
        <v>852.45</v>
      </c>
      <c r="I1086">
        <v>852.45</v>
      </c>
      <c r="J1086">
        <v>852.45</v>
      </c>
      <c r="K1086">
        <v>852.45</v>
      </c>
    </row>
    <row r="1087" spans="1:13" x14ac:dyDescent="0.3">
      <c r="A1087">
        <v>100</v>
      </c>
      <c r="B1087">
        <v>100</v>
      </c>
      <c r="C1087">
        <v>100</v>
      </c>
      <c r="D1087">
        <v>100</v>
      </c>
      <c r="E1087">
        <v>100</v>
      </c>
      <c r="F1087">
        <v>100</v>
      </c>
      <c r="G1087">
        <v>100</v>
      </c>
      <c r="H1087">
        <v>100</v>
      </c>
      <c r="I1087">
        <v>100</v>
      </c>
      <c r="J1087">
        <v>100</v>
      </c>
      <c r="K1087">
        <v>100</v>
      </c>
    </row>
    <row r="1088" spans="1:13" x14ac:dyDescent="0.3">
      <c r="A1088" t="s">
        <v>44</v>
      </c>
      <c r="B1088" t="s">
        <v>44</v>
      </c>
      <c r="C1088" t="s">
        <v>44</v>
      </c>
      <c r="D1088" t="s">
        <v>44</v>
      </c>
      <c r="E1088" t="s">
        <v>44</v>
      </c>
      <c r="F1088" t="s">
        <v>44</v>
      </c>
      <c r="G1088" t="s">
        <v>44</v>
      </c>
      <c r="H1088" t="s">
        <v>44</v>
      </c>
      <c r="I1088" t="s">
        <v>44</v>
      </c>
      <c r="J1088" t="s">
        <v>44</v>
      </c>
      <c r="K1088" t="s">
        <v>44</v>
      </c>
    </row>
    <row r="1089" spans="1:13" x14ac:dyDescent="0.3">
      <c r="A1089">
        <v>17955373</v>
      </c>
      <c r="B1089">
        <v>17955373</v>
      </c>
      <c r="C1089">
        <v>17955373</v>
      </c>
      <c r="D1089">
        <v>17955373</v>
      </c>
      <c r="E1089">
        <v>17955373</v>
      </c>
      <c r="F1089">
        <v>17955373</v>
      </c>
      <c r="G1089">
        <v>17955373</v>
      </c>
      <c r="H1089">
        <v>17955373</v>
      </c>
      <c r="I1089">
        <v>17955373</v>
      </c>
      <c r="J1089">
        <v>17955373</v>
      </c>
      <c r="K1089">
        <v>17955373</v>
      </c>
    </row>
    <row r="1090" spans="1:13" x14ac:dyDescent="0.3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</row>
    <row r="1091" spans="1:13" x14ac:dyDescent="0.3">
      <c r="A1091" t="s">
        <v>19</v>
      </c>
      <c r="B1091" t="s">
        <v>19</v>
      </c>
      <c r="C1091" t="s">
        <v>19</v>
      </c>
      <c r="D1091" t="s">
        <v>19</v>
      </c>
      <c r="E1091" t="s">
        <v>19</v>
      </c>
      <c r="F1091" t="s">
        <v>19</v>
      </c>
      <c r="G1091" t="s">
        <v>19</v>
      </c>
      <c r="H1091" t="s">
        <v>19</v>
      </c>
      <c r="I1091" t="s">
        <v>19</v>
      </c>
      <c r="J1091" t="s">
        <v>19</v>
      </c>
      <c r="K1091" t="s">
        <v>19</v>
      </c>
    </row>
    <row r="1092" spans="1:13" x14ac:dyDescent="0.3">
      <c r="A1092" t="s">
        <v>20</v>
      </c>
      <c r="B1092" t="s">
        <v>20</v>
      </c>
      <c r="C1092" t="s">
        <v>20</v>
      </c>
      <c r="D1092" t="s">
        <v>20</v>
      </c>
      <c r="E1092" t="s">
        <v>20</v>
      </c>
      <c r="F1092" t="s">
        <v>20</v>
      </c>
      <c r="G1092" t="s">
        <v>20</v>
      </c>
      <c r="H1092" t="s">
        <v>20</v>
      </c>
      <c r="I1092" t="s">
        <v>20</v>
      </c>
      <c r="J1092" t="s">
        <v>20</v>
      </c>
      <c r="K1092" t="s">
        <v>20</v>
      </c>
    </row>
    <row r="1093" spans="1:13" x14ac:dyDescent="0.3">
      <c r="A1093" t="s">
        <v>15</v>
      </c>
      <c r="B1093" t="s">
        <v>15</v>
      </c>
      <c r="C1093" t="s">
        <v>15</v>
      </c>
      <c r="D1093" t="s">
        <v>15</v>
      </c>
      <c r="E1093" t="s">
        <v>15</v>
      </c>
      <c r="F1093" t="s">
        <v>15</v>
      </c>
      <c r="G1093" t="s">
        <v>15</v>
      </c>
      <c r="H1093" t="s">
        <v>15</v>
      </c>
      <c r="I1093" t="s">
        <v>15</v>
      </c>
      <c r="J1093" t="s">
        <v>15</v>
      </c>
      <c r="K1093" t="s">
        <v>15</v>
      </c>
      <c r="L1093" t="s">
        <v>16</v>
      </c>
      <c r="M1093" t="s">
        <v>17</v>
      </c>
    </row>
    <row r="1094" spans="1:13" x14ac:dyDescent="0.3">
      <c r="A1094">
        <v>169.93</v>
      </c>
      <c r="B1094">
        <v>169.93</v>
      </c>
      <c r="C1094">
        <v>169.93</v>
      </c>
      <c r="D1094">
        <v>169.93</v>
      </c>
      <c r="E1094">
        <v>169.93</v>
      </c>
      <c r="F1094">
        <v>169.93</v>
      </c>
      <c r="G1094">
        <v>169.93</v>
      </c>
      <c r="H1094">
        <v>169.93</v>
      </c>
      <c r="I1094">
        <v>169.93</v>
      </c>
      <c r="J1094">
        <v>169.93</v>
      </c>
      <c r="K1094">
        <v>169.93</v>
      </c>
    </row>
    <row r="1095" spans="1:13" x14ac:dyDescent="0.3">
      <c r="A1095">
        <v>-1.2</v>
      </c>
      <c r="B1095">
        <v>-1.2</v>
      </c>
      <c r="C1095">
        <v>-1.2</v>
      </c>
      <c r="D1095">
        <v>-1.2</v>
      </c>
      <c r="E1095">
        <v>-1.2</v>
      </c>
      <c r="F1095">
        <v>-1.2</v>
      </c>
      <c r="G1095">
        <v>-1.2</v>
      </c>
      <c r="H1095">
        <v>-1.2</v>
      </c>
      <c r="I1095">
        <v>-1.2</v>
      </c>
      <c r="J1095">
        <v>-1.2</v>
      </c>
      <c r="K1095">
        <v>-1.2</v>
      </c>
    </row>
    <row r="1096" spans="1:13" x14ac:dyDescent="0.3">
      <c r="A1096">
        <v>200</v>
      </c>
      <c r="B1096">
        <v>200</v>
      </c>
      <c r="C1096">
        <v>200</v>
      </c>
      <c r="D1096">
        <v>200</v>
      </c>
      <c r="E1096">
        <v>200</v>
      </c>
      <c r="F1096">
        <v>200</v>
      </c>
      <c r="G1096">
        <v>200</v>
      </c>
      <c r="H1096">
        <v>200</v>
      </c>
      <c r="I1096">
        <v>200</v>
      </c>
      <c r="J1096">
        <v>200</v>
      </c>
      <c r="K1096">
        <v>200</v>
      </c>
    </row>
    <row r="1097" spans="1:13" x14ac:dyDescent="0.3">
      <c r="A1097">
        <v>169.96</v>
      </c>
      <c r="B1097">
        <v>169.96</v>
      </c>
      <c r="C1097">
        <v>169.96</v>
      </c>
      <c r="D1097">
        <v>169.96</v>
      </c>
      <c r="E1097">
        <v>169.96</v>
      </c>
      <c r="F1097">
        <v>169.96</v>
      </c>
      <c r="G1097">
        <v>169.96</v>
      </c>
      <c r="H1097">
        <v>169.96</v>
      </c>
      <c r="I1097">
        <v>169.96</v>
      </c>
      <c r="J1097">
        <v>169.96</v>
      </c>
      <c r="K1097">
        <v>169.96</v>
      </c>
    </row>
    <row r="1098" spans="1:13" x14ac:dyDescent="0.3">
      <c r="A1098">
        <v>170.04</v>
      </c>
      <c r="B1098">
        <v>170.04</v>
      </c>
      <c r="C1098">
        <v>170.04</v>
      </c>
      <c r="D1098">
        <v>170.04</v>
      </c>
      <c r="E1098">
        <v>170.04</v>
      </c>
      <c r="F1098">
        <v>170.04</v>
      </c>
      <c r="G1098">
        <v>170.04</v>
      </c>
      <c r="H1098">
        <v>170.04</v>
      </c>
      <c r="I1098">
        <v>170.04</v>
      </c>
      <c r="J1098">
        <v>170.04</v>
      </c>
      <c r="K1098">
        <v>170.04</v>
      </c>
    </row>
    <row r="1099" spans="1:13" x14ac:dyDescent="0.3">
      <c r="A1099">
        <v>100</v>
      </c>
      <c r="B1099">
        <v>100</v>
      </c>
      <c r="C1099">
        <v>100</v>
      </c>
      <c r="D1099">
        <v>100</v>
      </c>
      <c r="E1099">
        <v>100</v>
      </c>
      <c r="F1099">
        <v>100</v>
      </c>
      <c r="G1099">
        <v>100</v>
      </c>
      <c r="H1099">
        <v>100</v>
      </c>
      <c r="I1099">
        <v>100</v>
      </c>
      <c r="J1099">
        <v>100</v>
      </c>
      <c r="K1099">
        <v>100</v>
      </c>
    </row>
    <row r="1100" spans="1:13" x14ac:dyDescent="0.3">
      <c r="A1100" t="s">
        <v>23</v>
      </c>
      <c r="B1100" t="s">
        <v>23</v>
      </c>
      <c r="C1100" t="s">
        <v>23</v>
      </c>
      <c r="D1100" t="s">
        <v>23</v>
      </c>
      <c r="E1100" t="s">
        <v>23</v>
      </c>
      <c r="F1100" t="s">
        <v>23</v>
      </c>
      <c r="G1100" t="s">
        <v>23</v>
      </c>
      <c r="H1100" t="s">
        <v>23</v>
      </c>
      <c r="I1100" t="s">
        <v>23</v>
      </c>
      <c r="J1100" t="s">
        <v>23</v>
      </c>
      <c r="K1100" t="s">
        <v>23</v>
      </c>
    </row>
    <row r="1101" spans="1:13" x14ac:dyDescent="0.3">
      <c r="A1101">
        <v>3792047</v>
      </c>
      <c r="B1101">
        <v>3792047</v>
      </c>
      <c r="C1101">
        <v>3792047</v>
      </c>
      <c r="D1101">
        <v>3792047</v>
      </c>
      <c r="E1101">
        <v>3792047</v>
      </c>
      <c r="F1101">
        <v>3792047</v>
      </c>
      <c r="G1101">
        <v>3792047</v>
      </c>
      <c r="H1101">
        <v>3792047</v>
      </c>
      <c r="I1101">
        <v>3792047</v>
      </c>
      <c r="J1101">
        <v>3792047</v>
      </c>
      <c r="K1101">
        <v>3792047</v>
      </c>
    </row>
    <row r="1102" spans="1:13" x14ac:dyDescent="0.3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</row>
    <row r="1103" spans="1:13" x14ac:dyDescent="0.3">
      <c r="A1103" t="s">
        <v>19</v>
      </c>
      <c r="B1103" t="s">
        <v>19</v>
      </c>
      <c r="C1103" t="s">
        <v>19</v>
      </c>
      <c r="D1103" t="s">
        <v>19</v>
      </c>
      <c r="E1103" t="s">
        <v>19</v>
      </c>
      <c r="F1103" t="s">
        <v>19</v>
      </c>
      <c r="G1103" t="s">
        <v>19</v>
      </c>
      <c r="H1103" t="s">
        <v>19</v>
      </c>
      <c r="I1103" t="s">
        <v>19</v>
      </c>
      <c r="J1103" t="s">
        <v>19</v>
      </c>
      <c r="K1103" t="s">
        <v>19</v>
      </c>
    </row>
    <row r="1104" spans="1:13" x14ac:dyDescent="0.3">
      <c r="A1104" t="s">
        <v>20</v>
      </c>
      <c r="B1104" t="s">
        <v>20</v>
      </c>
      <c r="C1104" t="s">
        <v>20</v>
      </c>
      <c r="D1104" t="s">
        <v>20</v>
      </c>
      <c r="E1104" t="s">
        <v>20</v>
      </c>
      <c r="F1104" t="s">
        <v>20</v>
      </c>
      <c r="G1104" t="s">
        <v>20</v>
      </c>
      <c r="H1104" t="s">
        <v>20</v>
      </c>
      <c r="I1104" t="s">
        <v>20</v>
      </c>
      <c r="J1104" t="s">
        <v>20</v>
      </c>
      <c r="K1104" t="s">
        <v>20</v>
      </c>
    </row>
    <row r="1105" spans="1:13" x14ac:dyDescent="0.3">
      <c r="A1105" t="s">
        <v>15</v>
      </c>
      <c r="B1105" t="s">
        <v>15</v>
      </c>
      <c r="C1105" t="s">
        <v>15</v>
      </c>
      <c r="D1105" t="s">
        <v>15</v>
      </c>
      <c r="E1105" t="s">
        <v>15</v>
      </c>
      <c r="F1105" t="s">
        <v>15</v>
      </c>
      <c r="G1105" t="s">
        <v>15</v>
      </c>
      <c r="H1105" t="s">
        <v>15</v>
      </c>
      <c r="I1105" t="s">
        <v>15</v>
      </c>
      <c r="J1105" t="s">
        <v>15</v>
      </c>
      <c r="K1105" t="s">
        <v>15</v>
      </c>
      <c r="L1105" t="s">
        <v>16</v>
      </c>
      <c r="M1105" t="s">
        <v>17</v>
      </c>
    </row>
    <row r="1106" spans="1:13" x14ac:dyDescent="0.3">
      <c r="A1106">
        <v>33.799999999999997</v>
      </c>
      <c r="B1106">
        <v>33.799999999999997</v>
      </c>
      <c r="C1106">
        <v>33.799999999999997</v>
      </c>
      <c r="D1106">
        <v>33.799999999999997</v>
      </c>
      <c r="E1106">
        <v>33.799999999999997</v>
      </c>
      <c r="F1106">
        <v>33.799999999999997</v>
      </c>
      <c r="G1106">
        <v>33.799999999999997</v>
      </c>
      <c r="H1106">
        <v>33.799999999999997</v>
      </c>
      <c r="I1106">
        <v>33.799999999999997</v>
      </c>
      <c r="J1106">
        <v>33.799999999999997</v>
      </c>
      <c r="K1106">
        <v>33.799999999999997</v>
      </c>
    </row>
    <row r="1107" spans="1:13" x14ac:dyDescent="0.3">
      <c r="A1107">
        <v>2.67</v>
      </c>
      <c r="B1107">
        <v>2.67</v>
      </c>
      <c r="C1107">
        <v>2.67</v>
      </c>
      <c r="D1107">
        <v>2.67</v>
      </c>
      <c r="E1107">
        <v>2.67</v>
      </c>
      <c r="F1107">
        <v>2.67</v>
      </c>
      <c r="G1107">
        <v>2.67</v>
      </c>
      <c r="H1107">
        <v>2.67</v>
      </c>
      <c r="I1107">
        <v>2.67</v>
      </c>
      <c r="J1107">
        <v>2.67</v>
      </c>
      <c r="K1107">
        <v>2.67</v>
      </c>
    </row>
    <row r="1108" spans="1:13" x14ac:dyDescent="0.3">
      <c r="A1108">
        <v>300</v>
      </c>
      <c r="B1108">
        <v>300</v>
      </c>
      <c r="C1108">
        <v>300</v>
      </c>
      <c r="D1108">
        <v>300</v>
      </c>
      <c r="E1108">
        <v>300</v>
      </c>
      <c r="F1108">
        <v>300</v>
      </c>
      <c r="G1108">
        <v>300</v>
      </c>
      <c r="H1108">
        <v>300</v>
      </c>
      <c r="I1108">
        <v>300</v>
      </c>
      <c r="J1108">
        <v>300</v>
      </c>
      <c r="K1108">
        <v>300</v>
      </c>
    </row>
    <row r="1109" spans="1:13" x14ac:dyDescent="0.3">
      <c r="A1109">
        <v>33.83</v>
      </c>
      <c r="B1109">
        <v>33.83</v>
      </c>
      <c r="C1109">
        <v>33.83</v>
      </c>
      <c r="D1109">
        <v>33.83</v>
      </c>
      <c r="E1109">
        <v>33.83</v>
      </c>
      <c r="F1109">
        <v>33.83</v>
      </c>
      <c r="G1109">
        <v>33.83</v>
      </c>
      <c r="H1109">
        <v>33.83</v>
      </c>
      <c r="I1109">
        <v>33.83</v>
      </c>
      <c r="J1109">
        <v>33.83</v>
      </c>
      <c r="K1109">
        <v>33.83</v>
      </c>
    </row>
    <row r="1110" spans="1:13" x14ac:dyDescent="0.3">
      <c r="A1110">
        <v>33.96</v>
      </c>
      <c r="B1110">
        <v>33.96</v>
      </c>
      <c r="C1110">
        <v>33.96</v>
      </c>
      <c r="D1110">
        <v>33.96</v>
      </c>
      <c r="E1110">
        <v>33.96</v>
      </c>
      <c r="F1110">
        <v>33.96</v>
      </c>
      <c r="G1110">
        <v>33.96</v>
      </c>
      <c r="H1110">
        <v>33.96</v>
      </c>
      <c r="I1110">
        <v>33.96</v>
      </c>
      <c r="J1110">
        <v>33.96</v>
      </c>
      <c r="K1110">
        <v>33.96</v>
      </c>
    </row>
    <row r="1111" spans="1:13" x14ac:dyDescent="0.3">
      <c r="A1111">
        <v>200</v>
      </c>
      <c r="B1111">
        <v>200</v>
      </c>
      <c r="C1111">
        <v>200</v>
      </c>
      <c r="D1111">
        <v>200</v>
      </c>
      <c r="E1111">
        <v>200</v>
      </c>
      <c r="F1111">
        <v>200</v>
      </c>
      <c r="G1111">
        <v>200</v>
      </c>
      <c r="H1111">
        <v>200</v>
      </c>
      <c r="I1111">
        <v>200</v>
      </c>
      <c r="J1111">
        <v>200</v>
      </c>
      <c r="K1111">
        <v>200</v>
      </c>
    </row>
    <row r="1112" spans="1:13" x14ac:dyDescent="0.3">
      <c r="A1112" t="s">
        <v>44</v>
      </c>
      <c r="B1112" t="s">
        <v>44</v>
      </c>
      <c r="C1112" t="s">
        <v>44</v>
      </c>
      <c r="D1112" t="s">
        <v>44</v>
      </c>
      <c r="E1112" t="s">
        <v>44</v>
      </c>
      <c r="F1112" t="s">
        <v>44</v>
      </c>
      <c r="G1112" t="s">
        <v>44</v>
      </c>
      <c r="H1112" t="s">
        <v>44</v>
      </c>
      <c r="I1112" t="s">
        <v>44</v>
      </c>
      <c r="J1112" t="s">
        <v>44</v>
      </c>
      <c r="K1112" t="s">
        <v>44</v>
      </c>
    </row>
    <row r="1113" spans="1:13" x14ac:dyDescent="0.3">
      <c r="A1113">
        <v>7829401</v>
      </c>
      <c r="B1113">
        <v>7829401</v>
      </c>
      <c r="C1113">
        <v>7829401</v>
      </c>
      <c r="D1113">
        <v>7829401</v>
      </c>
      <c r="E1113">
        <v>7829401</v>
      </c>
      <c r="F1113">
        <v>7829401</v>
      </c>
      <c r="G1113">
        <v>7829401</v>
      </c>
      <c r="H1113">
        <v>7829401</v>
      </c>
      <c r="I1113">
        <v>7829401</v>
      </c>
      <c r="J1113">
        <v>7829401</v>
      </c>
      <c r="K1113">
        <v>7829401</v>
      </c>
    </row>
    <row r="1114" spans="1:13" x14ac:dyDescent="0.3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</row>
    <row r="1115" spans="1:13" x14ac:dyDescent="0.3">
      <c r="A1115" t="s">
        <v>19</v>
      </c>
      <c r="B1115" t="s">
        <v>19</v>
      </c>
      <c r="C1115" t="s">
        <v>19</v>
      </c>
      <c r="D1115" t="s">
        <v>19</v>
      </c>
      <c r="E1115" t="s">
        <v>19</v>
      </c>
      <c r="F1115" t="s">
        <v>19</v>
      </c>
      <c r="G1115" t="s">
        <v>19</v>
      </c>
      <c r="H1115" t="s">
        <v>19</v>
      </c>
      <c r="I1115" t="s">
        <v>19</v>
      </c>
      <c r="J1115" t="s">
        <v>19</v>
      </c>
      <c r="K1115" t="s">
        <v>19</v>
      </c>
    </row>
    <row r="1116" spans="1:13" x14ac:dyDescent="0.3">
      <c r="A1116" t="s">
        <v>20</v>
      </c>
      <c r="B1116" t="s">
        <v>20</v>
      </c>
      <c r="C1116" t="s">
        <v>20</v>
      </c>
      <c r="D1116" t="s">
        <v>20</v>
      </c>
      <c r="E1116" t="s">
        <v>20</v>
      </c>
      <c r="F1116" t="s">
        <v>20</v>
      </c>
      <c r="G1116" t="s">
        <v>20</v>
      </c>
      <c r="H1116" t="s">
        <v>20</v>
      </c>
      <c r="I1116" t="s">
        <v>20</v>
      </c>
      <c r="J1116" t="s">
        <v>20</v>
      </c>
      <c r="K1116" t="s">
        <v>20</v>
      </c>
    </row>
    <row r="1117" spans="1:13" x14ac:dyDescent="0.3">
      <c r="A1117" t="s">
        <v>15</v>
      </c>
      <c r="B1117" t="s">
        <v>15</v>
      </c>
      <c r="C1117" t="s">
        <v>15</v>
      </c>
      <c r="D1117" t="s">
        <v>15</v>
      </c>
      <c r="E1117" t="s">
        <v>15</v>
      </c>
      <c r="F1117" t="s">
        <v>15</v>
      </c>
      <c r="G1117" t="s">
        <v>15</v>
      </c>
      <c r="H1117" t="s">
        <v>15</v>
      </c>
      <c r="I1117" t="s">
        <v>15</v>
      </c>
      <c r="J1117" t="s">
        <v>15</v>
      </c>
      <c r="K1117" t="s">
        <v>15</v>
      </c>
      <c r="L1117" t="s">
        <v>16</v>
      </c>
      <c r="M1117" t="s">
        <v>17</v>
      </c>
    </row>
    <row r="1118" spans="1:13" x14ac:dyDescent="0.3">
      <c r="A1118">
        <v>34.92</v>
      </c>
      <c r="B1118">
        <v>34.92</v>
      </c>
      <c r="C1118">
        <v>34.92</v>
      </c>
      <c r="D1118">
        <v>34.92</v>
      </c>
      <c r="E1118">
        <v>34.92</v>
      </c>
      <c r="F1118">
        <v>34.92</v>
      </c>
      <c r="G1118">
        <v>34.92</v>
      </c>
      <c r="H1118">
        <v>34.92</v>
      </c>
      <c r="I1118">
        <v>34.92</v>
      </c>
      <c r="J1118">
        <v>34.92</v>
      </c>
      <c r="K1118">
        <v>34.92</v>
      </c>
    </row>
    <row r="1119" spans="1:13" x14ac:dyDescent="0.3">
      <c r="A1119">
        <v>6.5</v>
      </c>
      <c r="B1119">
        <v>6.5</v>
      </c>
      <c r="C1119">
        <v>6.5</v>
      </c>
      <c r="D1119">
        <v>6.5</v>
      </c>
      <c r="E1119">
        <v>6.5</v>
      </c>
      <c r="F1119">
        <v>6.5</v>
      </c>
      <c r="G1119">
        <v>6.5</v>
      </c>
      <c r="H1119">
        <v>6.5</v>
      </c>
      <c r="I1119">
        <v>6.5</v>
      </c>
      <c r="J1119">
        <v>6.5</v>
      </c>
      <c r="K1119">
        <v>6.5</v>
      </c>
    </row>
    <row r="1120" spans="1:13" x14ac:dyDescent="0.3">
      <c r="A1120">
        <v>200</v>
      </c>
      <c r="B1120">
        <v>200</v>
      </c>
      <c r="C1120">
        <v>200</v>
      </c>
      <c r="D1120">
        <v>200</v>
      </c>
      <c r="E1120">
        <v>200</v>
      </c>
      <c r="F1120">
        <v>200</v>
      </c>
      <c r="G1120">
        <v>200</v>
      </c>
      <c r="H1120">
        <v>200</v>
      </c>
      <c r="I1120">
        <v>200</v>
      </c>
      <c r="J1120">
        <v>200</v>
      </c>
      <c r="K1120">
        <v>200</v>
      </c>
    </row>
    <row r="1121" spans="1:13" x14ac:dyDescent="0.3">
      <c r="A1121">
        <v>34.83</v>
      </c>
      <c r="B1121">
        <v>34.83</v>
      </c>
      <c r="C1121">
        <v>34.83</v>
      </c>
      <c r="D1121">
        <v>34.83</v>
      </c>
      <c r="E1121">
        <v>34.83</v>
      </c>
      <c r="F1121">
        <v>34.83</v>
      </c>
      <c r="G1121">
        <v>34.83</v>
      </c>
      <c r="H1121">
        <v>34.83</v>
      </c>
      <c r="I1121">
        <v>34.83</v>
      </c>
      <c r="J1121">
        <v>34.83</v>
      </c>
      <c r="K1121">
        <v>34.83</v>
      </c>
    </row>
    <row r="1122" spans="1:13" x14ac:dyDescent="0.3">
      <c r="A1122">
        <v>35</v>
      </c>
      <c r="B1122">
        <v>35</v>
      </c>
      <c r="C1122">
        <v>35</v>
      </c>
      <c r="D1122">
        <v>35</v>
      </c>
      <c r="E1122">
        <v>35</v>
      </c>
      <c r="F1122">
        <v>35</v>
      </c>
      <c r="G1122">
        <v>35</v>
      </c>
      <c r="H1122">
        <v>35</v>
      </c>
      <c r="I1122">
        <v>35</v>
      </c>
      <c r="J1122">
        <v>35</v>
      </c>
      <c r="K1122">
        <v>35</v>
      </c>
    </row>
    <row r="1123" spans="1:13" x14ac:dyDescent="0.3">
      <c r="A1123">
        <v>2000</v>
      </c>
      <c r="B1123">
        <v>2000</v>
      </c>
      <c r="C1123">
        <v>2000</v>
      </c>
      <c r="D1123">
        <v>2000</v>
      </c>
      <c r="E1123">
        <v>2000</v>
      </c>
      <c r="F1123">
        <v>2000</v>
      </c>
      <c r="G1123">
        <v>2000</v>
      </c>
      <c r="H1123">
        <v>2000</v>
      </c>
      <c r="I1123">
        <v>2000</v>
      </c>
      <c r="J1123">
        <v>2000</v>
      </c>
      <c r="K1123">
        <v>2000</v>
      </c>
    </row>
    <row r="1124" spans="1:13" x14ac:dyDescent="0.3">
      <c r="A1124" t="s">
        <v>24</v>
      </c>
      <c r="B1124" t="s">
        <v>24</v>
      </c>
      <c r="C1124" t="s">
        <v>24</v>
      </c>
      <c r="D1124" t="s">
        <v>24</v>
      </c>
      <c r="E1124" t="s">
        <v>24</v>
      </c>
      <c r="F1124" t="s">
        <v>24</v>
      </c>
      <c r="G1124" t="s">
        <v>24</v>
      </c>
      <c r="H1124" t="s">
        <v>24</v>
      </c>
      <c r="I1124" t="s">
        <v>24</v>
      </c>
      <c r="J1124" t="s">
        <v>24</v>
      </c>
      <c r="K1124" t="s">
        <v>24</v>
      </c>
    </row>
    <row r="1125" spans="1:13" x14ac:dyDescent="0.3">
      <c r="A1125">
        <v>6017598</v>
      </c>
      <c r="B1125">
        <v>6017598</v>
      </c>
      <c r="C1125">
        <v>6017598</v>
      </c>
      <c r="D1125">
        <v>6017598</v>
      </c>
      <c r="E1125">
        <v>6017598</v>
      </c>
      <c r="F1125">
        <v>6017598</v>
      </c>
      <c r="G1125">
        <v>6017598</v>
      </c>
      <c r="H1125">
        <v>6017598</v>
      </c>
      <c r="I1125">
        <v>6017598</v>
      </c>
      <c r="J1125">
        <v>6017598</v>
      </c>
      <c r="K1125">
        <v>6017598</v>
      </c>
    </row>
    <row r="1126" spans="1:13" x14ac:dyDescent="0.3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</row>
    <row r="1127" spans="1:13" x14ac:dyDescent="0.3">
      <c r="A1127" t="s">
        <v>19</v>
      </c>
      <c r="B1127" t="s">
        <v>19</v>
      </c>
      <c r="C1127" t="s">
        <v>19</v>
      </c>
      <c r="D1127" t="s">
        <v>19</v>
      </c>
      <c r="E1127" t="s">
        <v>19</v>
      </c>
      <c r="F1127" t="s">
        <v>19</v>
      </c>
      <c r="G1127" t="s">
        <v>19</v>
      </c>
      <c r="H1127" t="s">
        <v>19</v>
      </c>
      <c r="I1127" t="s">
        <v>19</v>
      </c>
      <c r="J1127" t="s">
        <v>19</v>
      </c>
      <c r="K1127" t="s">
        <v>19</v>
      </c>
    </row>
    <row r="1128" spans="1:13" x14ac:dyDescent="0.3">
      <c r="A1128" t="s">
        <v>28</v>
      </c>
      <c r="B1128" t="s">
        <v>28</v>
      </c>
      <c r="C1128" t="s">
        <v>28</v>
      </c>
      <c r="D1128" t="s">
        <v>28</v>
      </c>
      <c r="E1128" t="s">
        <v>28</v>
      </c>
      <c r="F1128" t="s">
        <v>28</v>
      </c>
      <c r="G1128" t="s">
        <v>28</v>
      </c>
      <c r="H1128" t="s">
        <v>28</v>
      </c>
      <c r="I1128" t="s">
        <v>28</v>
      </c>
      <c r="J1128" t="s">
        <v>28</v>
      </c>
      <c r="K1128" t="s">
        <v>28</v>
      </c>
    </row>
    <row r="1129" spans="1:13" x14ac:dyDescent="0.3">
      <c r="A1129" t="s">
        <v>15</v>
      </c>
      <c r="B1129" t="s">
        <v>15</v>
      </c>
      <c r="C1129" t="s">
        <v>15</v>
      </c>
      <c r="D1129" t="s">
        <v>15</v>
      </c>
      <c r="E1129" t="s">
        <v>15</v>
      </c>
      <c r="F1129" t="s">
        <v>15</v>
      </c>
      <c r="G1129" t="s">
        <v>15</v>
      </c>
      <c r="H1129" t="s">
        <v>15</v>
      </c>
      <c r="I1129" t="s">
        <v>15</v>
      </c>
      <c r="J1129" t="s">
        <v>15</v>
      </c>
      <c r="K1129" t="s">
        <v>15</v>
      </c>
      <c r="L1129" t="s">
        <v>16</v>
      </c>
      <c r="M1129" t="s">
        <v>17</v>
      </c>
    </row>
    <row r="1130" spans="1:13" x14ac:dyDescent="0.3">
      <c r="A1130">
        <v>199.52</v>
      </c>
      <c r="B1130">
        <v>199.52</v>
      </c>
      <c r="C1130">
        <v>199.52</v>
      </c>
      <c r="D1130">
        <v>199.52</v>
      </c>
      <c r="E1130">
        <v>199.52</v>
      </c>
      <c r="F1130">
        <v>199.52</v>
      </c>
      <c r="G1130">
        <v>199.52</v>
      </c>
      <c r="H1130">
        <v>199.52</v>
      </c>
      <c r="I1130">
        <v>199.52</v>
      </c>
      <c r="J1130">
        <v>199.52</v>
      </c>
      <c r="K1130">
        <v>199.52</v>
      </c>
    </row>
    <row r="1131" spans="1:13" x14ac:dyDescent="0.3">
      <c r="A1131">
        <v>0.11</v>
      </c>
      <c r="B1131">
        <v>0.11</v>
      </c>
      <c r="C1131">
        <v>0.11</v>
      </c>
      <c r="D1131">
        <v>0.11</v>
      </c>
      <c r="E1131">
        <v>0.11</v>
      </c>
      <c r="F1131">
        <v>0.11</v>
      </c>
      <c r="G1131">
        <v>0.11</v>
      </c>
      <c r="H1131">
        <v>0.11</v>
      </c>
      <c r="I1131">
        <v>0.11</v>
      </c>
      <c r="J1131">
        <v>0.11</v>
      </c>
      <c r="K1131">
        <v>0.11</v>
      </c>
    </row>
    <row r="1132" spans="1:13" x14ac:dyDescent="0.3">
      <c r="A1132">
        <v>200</v>
      </c>
      <c r="B1132">
        <v>200</v>
      </c>
      <c r="C1132">
        <v>200</v>
      </c>
      <c r="D1132">
        <v>200</v>
      </c>
      <c r="E1132">
        <v>200</v>
      </c>
      <c r="F1132">
        <v>200</v>
      </c>
      <c r="G1132">
        <v>200</v>
      </c>
      <c r="H1132">
        <v>200</v>
      </c>
      <c r="I1132">
        <v>200</v>
      </c>
      <c r="J1132">
        <v>200</v>
      </c>
      <c r="K1132">
        <v>200</v>
      </c>
    </row>
    <row r="1133" spans="1:13" x14ac:dyDescent="0.3">
      <c r="A1133">
        <v>194.9</v>
      </c>
      <c r="B1133">
        <v>194.9</v>
      </c>
      <c r="C1133">
        <v>194.9</v>
      </c>
      <c r="D1133">
        <v>194.9</v>
      </c>
      <c r="E1133">
        <v>194.9</v>
      </c>
      <c r="F1133">
        <v>194.9</v>
      </c>
      <c r="G1133">
        <v>194.9</v>
      </c>
      <c r="H1133">
        <v>194.9</v>
      </c>
      <c r="I1133">
        <v>194.9</v>
      </c>
      <c r="J1133">
        <v>194.9</v>
      </c>
      <c r="K1133">
        <v>194.9</v>
      </c>
    </row>
    <row r="1134" spans="1:13" x14ac:dyDescent="0.3">
      <c r="A1134">
        <v>199.5</v>
      </c>
      <c r="B1134">
        <v>199.5</v>
      </c>
      <c r="C1134">
        <v>199.5</v>
      </c>
      <c r="D1134">
        <v>199.5</v>
      </c>
      <c r="E1134">
        <v>199.5</v>
      </c>
      <c r="F1134">
        <v>199.5</v>
      </c>
      <c r="G1134">
        <v>199.5</v>
      </c>
      <c r="H1134">
        <v>199.5</v>
      </c>
      <c r="I1134">
        <v>199.5</v>
      </c>
      <c r="J1134">
        <v>199.5</v>
      </c>
      <c r="K1134">
        <v>199.5</v>
      </c>
    </row>
    <row r="1135" spans="1:13" x14ac:dyDescent="0.3">
      <c r="A1135">
        <v>100</v>
      </c>
      <c r="B1135">
        <v>100</v>
      </c>
      <c r="C1135">
        <v>100</v>
      </c>
      <c r="D1135">
        <v>100</v>
      </c>
      <c r="E1135">
        <v>100</v>
      </c>
      <c r="F1135">
        <v>100</v>
      </c>
      <c r="G1135">
        <v>100</v>
      </c>
      <c r="H1135">
        <v>100</v>
      </c>
      <c r="I1135">
        <v>100</v>
      </c>
      <c r="J1135">
        <v>100</v>
      </c>
      <c r="K1135">
        <v>100</v>
      </c>
    </row>
    <row r="1136" spans="1:13" x14ac:dyDescent="0.3">
      <c r="A1136" t="s">
        <v>52</v>
      </c>
      <c r="B1136" t="s">
        <v>52</v>
      </c>
      <c r="C1136" t="s">
        <v>52</v>
      </c>
      <c r="D1136" t="s">
        <v>52</v>
      </c>
      <c r="E1136" t="s">
        <v>52</v>
      </c>
      <c r="F1136" t="s">
        <v>52</v>
      </c>
      <c r="G1136" t="s">
        <v>52</v>
      </c>
      <c r="H1136" t="s">
        <v>52</v>
      </c>
      <c r="I1136" t="s">
        <v>52</v>
      </c>
      <c r="J1136" t="s">
        <v>52</v>
      </c>
      <c r="K1136" t="s">
        <v>52</v>
      </c>
    </row>
    <row r="1137" spans="1:13" x14ac:dyDescent="0.3">
      <c r="A1137">
        <v>491054</v>
      </c>
      <c r="B1137">
        <v>491054</v>
      </c>
      <c r="C1137">
        <v>491054</v>
      </c>
      <c r="D1137">
        <v>491054</v>
      </c>
      <c r="E1137">
        <v>491054</v>
      </c>
      <c r="F1137">
        <v>491054</v>
      </c>
      <c r="G1137">
        <v>491054</v>
      </c>
      <c r="H1137">
        <v>491054</v>
      </c>
      <c r="I1137">
        <v>491054</v>
      </c>
      <c r="J1137">
        <v>491054</v>
      </c>
      <c r="K1137">
        <v>491054</v>
      </c>
    </row>
    <row r="1138" spans="1:13" x14ac:dyDescent="0.3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</row>
    <row r="1139" spans="1:13" x14ac:dyDescent="0.3">
      <c r="A1139" t="s">
        <v>19</v>
      </c>
      <c r="B1139" t="s">
        <v>19</v>
      </c>
      <c r="C1139" t="s">
        <v>19</v>
      </c>
      <c r="D1139" t="s">
        <v>19</v>
      </c>
      <c r="E1139" t="s">
        <v>19</v>
      </c>
      <c r="F1139" t="s">
        <v>19</v>
      </c>
      <c r="G1139" t="s">
        <v>19</v>
      </c>
      <c r="H1139" t="s">
        <v>19</v>
      </c>
      <c r="I1139" t="s">
        <v>19</v>
      </c>
      <c r="J1139" t="s">
        <v>19</v>
      </c>
      <c r="K1139" t="s">
        <v>19</v>
      </c>
    </row>
    <row r="1140" spans="1:13" x14ac:dyDescent="0.3">
      <c r="A1140" t="s">
        <v>28</v>
      </c>
      <c r="B1140" t="s">
        <v>28</v>
      </c>
      <c r="C1140" t="s">
        <v>28</v>
      </c>
      <c r="D1140" t="s">
        <v>28</v>
      </c>
      <c r="E1140" t="s">
        <v>28</v>
      </c>
      <c r="F1140" t="s">
        <v>28</v>
      </c>
      <c r="G1140" t="s">
        <v>28</v>
      </c>
      <c r="H1140" t="s">
        <v>28</v>
      </c>
      <c r="I1140" t="s">
        <v>28</v>
      </c>
      <c r="J1140" t="s">
        <v>28</v>
      </c>
      <c r="K1140" t="s">
        <v>28</v>
      </c>
    </row>
    <row r="1141" spans="1:13" x14ac:dyDescent="0.3">
      <c r="A1141" t="s">
        <v>15</v>
      </c>
      <c r="B1141" t="s">
        <v>15</v>
      </c>
      <c r="C1141" t="s">
        <v>15</v>
      </c>
      <c r="D1141" t="s">
        <v>15</v>
      </c>
      <c r="E1141" t="s">
        <v>15</v>
      </c>
      <c r="F1141" t="s">
        <v>15</v>
      </c>
      <c r="G1141" t="s">
        <v>15</v>
      </c>
      <c r="H1141" t="s">
        <v>15</v>
      </c>
      <c r="I1141" t="s">
        <v>15</v>
      </c>
      <c r="J1141" t="s">
        <v>15</v>
      </c>
      <c r="K1141" t="s">
        <v>15</v>
      </c>
      <c r="L1141" t="s">
        <v>16</v>
      </c>
      <c r="M1141" t="s">
        <v>17</v>
      </c>
    </row>
    <row r="1142" spans="1:13" x14ac:dyDescent="0.3">
      <c r="A1142">
        <v>187.43</v>
      </c>
      <c r="B1142">
        <v>187.43</v>
      </c>
      <c r="C1142">
        <v>187.43</v>
      </c>
      <c r="D1142">
        <v>187.43</v>
      </c>
      <c r="E1142">
        <v>187.43</v>
      </c>
      <c r="F1142">
        <v>187.43</v>
      </c>
      <c r="G1142">
        <v>187.43</v>
      </c>
      <c r="H1142">
        <v>187.43</v>
      </c>
      <c r="I1142">
        <v>187.43</v>
      </c>
      <c r="J1142">
        <v>187.43</v>
      </c>
      <c r="K1142">
        <v>187.43</v>
      </c>
    </row>
    <row r="1143" spans="1:13" x14ac:dyDescent="0.3">
      <c r="A1143">
        <v>-0.51</v>
      </c>
      <c r="B1143">
        <v>-0.51</v>
      </c>
      <c r="C1143">
        <v>-0.51</v>
      </c>
      <c r="D1143">
        <v>-0.51</v>
      </c>
      <c r="E1143">
        <v>-0.51</v>
      </c>
      <c r="F1143">
        <v>-0.51</v>
      </c>
      <c r="G1143">
        <v>-0.51</v>
      </c>
      <c r="H1143">
        <v>-0.51</v>
      </c>
      <c r="I1143">
        <v>-0.51</v>
      </c>
      <c r="J1143">
        <v>-0.51</v>
      </c>
      <c r="K1143">
        <v>-0.51</v>
      </c>
    </row>
    <row r="1144" spans="1:13" x14ac:dyDescent="0.3">
      <c r="A1144">
        <v>200</v>
      </c>
      <c r="B1144">
        <v>200</v>
      </c>
      <c r="C1144">
        <v>200</v>
      </c>
      <c r="D1144">
        <v>200</v>
      </c>
      <c r="E1144">
        <v>200</v>
      </c>
      <c r="F1144">
        <v>200</v>
      </c>
      <c r="G1144">
        <v>200</v>
      </c>
      <c r="H1144">
        <v>200</v>
      </c>
      <c r="I1144">
        <v>200</v>
      </c>
      <c r="J1144">
        <v>200</v>
      </c>
      <c r="K1144">
        <v>200</v>
      </c>
    </row>
    <row r="1145" spans="1:13" x14ac:dyDescent="0.3">
      <c r="A1145">
        <v>185.01</v>
      </c>
      <c r="B1145">
        <v>185.01</v>
      </c>
      <c r="C1145">
        <v>185.01</v>
      </c>
      <c r="D1145">
        <v>185.01</v>
      </c>
      <c r="E1145">
        <v>185.01</v>
      </c>
      <c r="F1145">
        <v>185.01</v>
      </c>
      <c r="G1145">
        <v>185.01</v>
      </c>
      <c r="H1145">
        <v>185.01</v>
      </c>
      <c r="I1145">
        <v>185.01</v>
      </c>
      <c r="J1145">
        <v>185.01</v>
      </c>
      <c r="K1145">
        <v>185.01</v>
      </c>
    </row>
    <row r="1146" spans="1:13" x14ac:dyDescent="0.3">
      <c r="A1146">
        <v>187.98</v>
      </c>
      <c r="B1146">
        <v>187.98</v>
      </c>
      <c r="C1146">
        <v>187.98</v>
      </c>
      <c r="D1146">
        <v>187.98</v>
      </c>
      <c r="E1146">
        <v>187.98</v>
      </c>
      <c r="F1146">
        <v>187.98</v>
      </c>
      <c r="G1146">
        <v>187.98</v>
      </c>
      <c r="H1146">
        <v>187.98</v>
      </c>
      <c r="I1146">
        <v>187.98</v>
      </c>
      <c r="J1146">
        <v>187.98</v>
      </c>
      <c r="K1146">
        <v>187.98</v>
      </c>
    </row>
    <row r="1147" spans="1:13" x14ac:dyDescent="0.3">
      <c r="A1147">
        <v>200</v>
      </c>
      <c r="B1147">
        <v>200</v>
      </c>
      <c r="C1147">
        <v>200</v>
      </c>
      <c r="D1147">
        <v>200</v>
      </c>
      <c r="E1147">
        <v>200</v>
      </c>
      <c r="F1147">
        <v>200</v>
      </c>
      <c r="G1147">
        <v>200</v>
      </c>
      <c r="H1147">
        <v>200</v>
      </c>
      <c r="I1147">
        <v>200</v>
      </c>
      <c r="J1147">
        <v>200</v>
      </c>
      <c r="K1147">
        <v>200</v>
      </c>
    </row>
    <row r="1148" spans="1:13" x14ac:dyDescent="0.3">
      <c r="A1148" t="s">
        <v>29</v>
      </c>
      <c r="B1148" t="s">
        <v>29</v>
      </c>
      <c r="C1148" t="s">
        <v>29</v>
      </c>
      <c r="D1148" t="s">
        <v>29</v>
      </c>
      <c r="E1148" t="s">
        <v>29</v>
      </c>
      <c r="F1148" t="s">
        <v>29</v>
      </c>
      <c r="G1148" t="s">
        <v>29</v>
      </c>
      <c r="H1148" t="s">
        <v>29</v>
      </c>
      <c r="I1148" t="s">
        <v>29</v>
      </c>
      <c r="J1148" t="s">
        <v>29</v>
      </c>
      <c r="K1148" t="s">
        <v>29</v>
      </c>
    </row>
    <row r="1149" spans="1:13" x14ac:dyDescent="0.3">
      <c r="A1149">
        <v>684197</v>
      </c>
      <c r="B1149">
        <v>684197</v>
      </c>
      <c r="C1149">
        <v>684197</v>
      </c>
      <c r="D1149">
        <v>684197</v>
      </c>
      <c r="E1149">
        <v>684197</v>
      </c>
      <c r="F1149">
        <v>684197</v>
      </c>
      <c r="G1149">
        <v>684197</v>
      </c>
      <c r="H1149">
        <v>684197</v>
      </c>
      <c r="I1149">
        <v>684197</v>
      </c>
      <c r="J1149">
        <v>684197</v>
      </c>
      <c r="K1149">
        <v>684197</v>
      </c>
    </row>
    <row r="1150" spans="1:13" x14ac:dyDescent="0.3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</row>
    <row r="1151" spans="1:13" x14ac:dyDescent="0.3">
      <c r="A1151" t="s">
        <v>19</v>
      </c>
      <c r="B1151" t="s">
        <v>19</v>
      </c>
      <c r="C1151" t="s">
        <v>19</v>
      </c>
      <c r="D1151" t="s">
        <v>19</v>
      </c>
      <c r="E1151" t="s">
        <v>19</v>
      </c>
      <c r="F1151" t="s">
        <v>19</v>
      </c>
      <c r="G1151" t="s">
        <v>19</v>
      </c>
      <c r="H1151" t="s">
        <v>19</v>
      </c>
      <c r="I1151" t="s">
        <v>19</v>
      </c>
      <c r="J1151" t="s">
        <v>19</v>
      </c>
      <c r="K1151" t="s">
        <v>19</v>
      </c>
    </row>
    <row r="1152" spans="1:13" x14ac:dyDescent="0.3">
      <c r="A1152" t="s">
        <v>20</v>
      </c>
      <c r="B1152" t="s">
        <v>20</v>
      </c>
      <c r="C1152" t="s">
        <v>20</v>
      </c>
      <c r="D1152" t="s">
        <v>20</v>
      </c>
      <c r="E1152" t="s">
        <v>20</v>
      </c>
      <c r="F1152" t="s">
        <v>20</v>
      </c>
      <c r="G1152" t="s">
        <v>20</v>
      </c>
      <c r="H1152" t="s">
        <v>20</v>
      </c>
      <c r="I1152" t="s">
        <v>20</v>
      </c>
      <c r="J1152" t="s">
        <v>20</v>
      </c>
      <c r="K1152" t="s">
        <v>20</v>
      </c>
    </row>
    <row r="1153" spans="1:13" x14ac:dyDescent="0.3">
      <c r="A1153" t="s">
        <v>15</v>
      </c>
      <c r="B1153" t="s">
        <v>15</v>
      </c>
      <c r="C1153" t="s">
        <v>15</v>
      </c>
      <c r="D1153" t="s">
        <v>15</v>
      </c>
      <c r="E1153" t="s">
        <v>15</v>
      </c>
      <c r="F1153" t="s">
        <v>15</v>
      </c>
      <c r="G1153" t="s">
        <v>15</v>
      </c>
      <c r="H1153" t="s">
        <v>15</v>
      </c>
      <c r="I1153" t="s">
        <v>15</v>
      </c>
      <c r="J1153" t="s">
        <v>15</v>
      </c>
      <c r="K1153" t="s">
        <v>15</v>
      </c>
      <c r="L1153" t="s">
        <v>16</v>
      </c>
      <c r="M1153" t="s">
        <v>17</v>
      </c>
    </row>
    <row r="1154" spans="1:13" x14ac:dyDescent="0.3">
      <c r="A1154">
        <v>215.26</v>
      </c>
      <c r="B1154">
        <v>215.26</v>
      </c>
      <c r="C1154">
        <v>215.26</v>
      </c>
      <c r="D1154">
        <v>215.26</v>
      </c>
      <c r="E1154">
        <v>215.26</v>
      </c>
      <c r="F1154">
        <v>215.26</v>
      </c>
      <c r="G1154">
        <v>215.26</v>
      </c>
      <c r="H1154">
        <v>215.26</v>
      </c>
      <c r="I1154">
        <v>215.26</v>
      </c>
      <c r="J1154">
        <v>215.26</v>
      </c>
      <c r="K1154">
        <v>215.26</v>
      </c>
    </row>
    <row r="1155" spans="1:13" x14ac:dyDescent="0.3">
      <c r="A1155">
        <v>0.73</v>
      </c>
      <c r="B1155">
        <v>0.73</v>
      </c>
      <c r="C1155">
        <v>0.73</v>
      </c>
      <c r="D1155">
        <v>0.73</v>
      </c>
      <c r="E1155">
        <v>0.73</v>
      </c>
      <c r="F1155">
        <v>0.73</v>
      </c>
      <c r="G1155">
        <v>0.73</v>
      </c>
      <c r="H1155">
        <v>0.73</v>
      </c>
      <c r="I1155">
        <v>0.73</v>
      </c>
      <c r="J1155">
        <v>0.73</v>
      </c>
      <c r="K1155">
        <v>0.73</v>
      </c>
    </row>
    <row r="1156" spans="1:13" x14ac:dyDescent="0.3">
      <c r="A1156">
        <v>100</v>
      </c>
      <c r="B1156">
        <v>100</v>
      </c>
      <c r="C1156">
        <v>100</v>
      </c>
      <c r="D1156">
        <v>100</v>
      </c>
      <c r="E1156">
        <v>100</v>
      </c>
      <c r="F1156">
        <v>100</v>
      </c>
      <c r="G1156">
        <v>100</v>
      </c>
      <c r="H1156">
        <v>100</v>
      </c>
      <c r="I1156">
        <v>100</v>
      </c>
      <c r="J1156">
        <v>100</v>
      </c>
      <c r="K1156">
        <v>100</v>
      </c>
    </row>
    <row r="1157" spans="1:13" x14ac:dyDescent="0.3">
      <c r="A1157">
        <v>214</v>
      </c>
      <c r="B1157">
        <v>214</v>
      </c>
      <c r="C1157">
        <v>214</v>
      </c>
      <c r="D1157">
        <v>214</v>
      </c>
      <c r="E1157">
        <v>214</v>
      </c>
      <c r="F1157">
        <v>214</v>
      </c>
      <c r="G1157">
        <v>214</v>
      </c>
      <c r="H1157">
        <v>214</v>
      </c>
      <c r="I1157">
        <v>214</v>
      </c>
      <c r="J1157">
        <v>214</v>
      </c>
      <c r="K1157">
        <v>214</v>
      </c>
    </row>
    <row r="1158" spans="1:13" x14ac:dyDescent="0.3">
      <c r="A1158">
        <v>215.42</v>
      </c>
      <c r="B1158">
        <v>215.42</v>
      </c>
      <c r="C1158">
        <v>215.42</v>
      </c>
      <c r="D1158">
        <v>215.42</v>
      </c>
      <c r="E1158">
        <v>215.42</v>
      </c>
      <c r="F1158">
        <v>215.42</v>
      </c>
      <c r="G1158">
        <v>215.42</v>
      </c>
      <c r="H1158">
        <v>215.42</v>
      </c>
      <c r="I1158">
        <v>215.42</v>
      </c>
      <c r="J1158">
        <v>215.42</v>
      </c>
      <c r="K1158">
        <v>215.42</v>
      </c>
    </row>
    <row r="1159" spans="1:13" x14ac:dyDescent="0.3">
      <c r="A1159">
        <v>100</v>
      </c>
      <c r="B1159">
        <v>100</v>
      </c>
      <c r="C1159">
        <v>100</v>
      </c>
      <c r="D1159">
        <v>100</v>
      </c>
      <c r="E1159">
        <v>100</v>
      </c>
      <c r="F1159">
        <v>100</v>
      </c>
      <c r="G1159">
        <v>100</v>
      </c>
      <c r="H1159">
        <v>100</v>
      </c>
      <c r="I1159">
        <v>100</v>
      </c>
      <c r="J1159">
        <v>100</v>
      </c>
      <c r="K1159">
        <v>100</v>
      </c>
    </row>
    <row r="1160" spans="1:13" x14ac:dyDescent="0.3">
      <c r="A1160" t="s">
        <v>48</v>
      </c>
      <c r="B1160" t="s">
        <v>48</v>
      </c>
      <c r="C1160" t="s">
        <v>48</v>
      </c>
      <c r="D1160" t="s">
        <v>48</v>
      </c>
      <c r="E1160" t="s">
        <v>48</v>
      </c>
      <c r="F1160" t="s">
        <v>48</v>
      </c>
      <c r="G1160" t="s">
        <v>48</v>
      </c>
      <c r="H1160" t="s">
        <v>48</v>
      </c>
      <c r="I1160" t="s">
        <v>48</v>
      </c>
      <c r="J1160" t="s">
        <v>48</v>
      </c>
      <c r="K1160" t="s">
        <v>48</v>
      </c>
    </row>
    <row r="1161" spans="1:13" x14ac:dyDescent="0.3">
      <c r="A1161">
        <v>2682952</v>
      </c>
      <c r="B1161">
        <v>2682952</v>
      </c>
      <c r="C1161">
        <v>2682952</v>
      </c>
      <c r="D1161">
        <v>2682952</v>
      </c>
      <c r="E1161">
        <v>2682952</v>
      </c>
      <c r="F1161">
        <v>2682952</v>
      </c>
      <c r="G1161">
        <v>2682952</v>
      </c>
      <c r="H1161">
        <v>2682952</v>
      </c>
      <c r="I1161">
        <v>2682952</v>
      </c>
      <c r="J1161">
        <v>2682952</v>
      </c>
      <c r="K1161">
        <v>2682952</v>
      </c>
    </row>
    <row r="1162" spans="1:13" x14ac:dyDescent="0.3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</row>
    <row r="1163" spans="1:13" x14ac:dyDescent="0.3">
      <c r="A1163" t="s">
        <v>19</v>
      </c>
      <c r="B1163" t="s">
        <v>19</v>
      </c>
      <c r="C1163" t="s">
        <v>19</v>
      </c>
      <c r="D1163" t="s">
        <v>19</v>
      </c>
      <c r="E1163" t="s">
        <v>19</v>
      </c>
      <c r="F1163" t="s">
        <v>19</v>
      </c>
      <c r="G1163" t="s">
        <v>19</v>
      </c>
      <c r="H1163" t="s">
        <v>19</v>
      </c>
      <c r="I1163" t="s">
        <v>19</v>
      </c>
      <c r="J1163" t="s">
        <v>19</v>
      </c>
      <c r="K1163" t="s">
        <v>19</v>
      </c>
    </row>
    <row r="1164" spans="1:13" x14ac:dyDescent="0.3">
      <c r="A1164" t="s">
        <v>20</v>
      </c>
      <c r="B1164" t="s">
        <v>20</v>
      </c>
      <c r="C1164" t="s">
        <v>20</v>
      </c>
      <c r="D1164" t="s">
        <v>20</v>
      </c>
      <c r="E1164" t="s">
        <v>20</v>
      </c>
      <c r="F1164" t="s">
        <v>20</v>
      </c>
      <c r="G1164" t="s">
        <v>20</v>
      </c>
      <c r="H1164" t="s">
        <v>20</v>
      </c>
      <c r="I1164" t="s">
        <v>20</v>
      </c>
      <c r="J1164" t="s">
        <v>20</v>
      </c>
      <c r="K1164" t="s">
        <v>20</v>
      </c>
    </row>
    <row r="1165" spans="1:13" x14ac:dyDescent="0.3">
      <c r="A1165" t="s">
        <v>15</v>
      </c>
      <c r="B1165" t="s">
        <v>15</v>
      </c>
      <c r="C1165" t="s">
        <v>15</v>
      </c>
      <c r="D1165" t="s">
        <v>15</v>
      </c>
      <c r="E1165" t="s">
        <v>15</v>
      </c>
      <c r="F1165" t="s">
        <v>15</v>
      </c>
      <c r="G1165" t="s">
        <v>15</v>
      </c>
      <c r="H1165" t="s">
        <v>15</v>
      </c>
      <c r="I1165" t="s">
        <v>15</v>
      </c>
      <c r="J1165" t="s">
        <v>15</v>
      </c>
      <c r="K1165" t="s">
        <v>15</v>
      </c>
      <c r="L1165" t="s">
        <v>16</v>
      </c>
      <c r="M1165" t="s">
        <v>17</v>
      </c>
    </row>
    <row r="1166" spans="1:13" x14ac:dyDescent="0.3">
      <c r="A1166">
        <v>49.81</v>
      </c>
      <c r="B1166">
        <v>49.81</v>
      </c>
      <c r="C1166">
        <v>49.81</v>
      </c>
      <c r="D1166">
        <v>49.81</v>
      </c>
      <c r="E1166">
        <v>49.81</v>
      </c>
      <c r="F1166">
        <v>49.81</v>
      </c>
      <c r="G1166">
        <v>49.81</v>
      </c>
      <c r="H1166">
        <v>49.81</v>
      </c>
      <c r="I1166">
        <v>49.81</v>
      </c>
      <c r="J1166">
        <v>49.81</v>
      </c>
      <c r="K1166">
        <v>49.81</v>
      </c>
    </row>
    <row r="1167" spans="1:13" x14ac:dyDescent="0.3">
      <c r="A1167">
        <v>1.1000000000000001</v>
      </c>
      <c r="B1167">
        <v>1.1000000000000001</v>
      </c>
      <c r="C1167">
        <v>1.1000000000000001</v>
      </c>
      <c r="D1167">
        <v>1.1000000000000001</v>
      </c>
      <c r="E1167">
        <v>1.1000000000000001</v>
      </c>
      <c r="F1167">
        <v>1.1000000000000001</v>
      </c>
      <c r="G1167">
        <v>1.1000000000000001</v>
      </c>
      <c r="H1167">
        <v>1.1000000000000001</v>
      </c>
      <c r="I1167">
        <v>1.1000000000000001</v>
      </c>
      <c r="J1167">
        <v>1.1000000000000001</v>
      </c>
      <c r="K1167">
        <v>1.1000000000000001</v>
      </c>
    </row>
    <row r="1168" spans="1:13" x14ac:dyDescent="0.3">
      <c r="A1168">
        <v>200</v>
      </c>
      <c r="B1168">
        <v>200</v>
      </c>
      <c r="C1168">
        <v>200</v>
      </c>
      <c r="D1168">
        <v>200</v>
      </c>
      <c r="E1168">
        <v>200</v>
      </c>
      <c r="F1168">
        <v>200</v>
      </c>
      <c r="G1168">
        <v>200</v>
      </c>
      <c r="H1168">
        <v>200</v>
      </c>
      <c r="I1168">
        <v>200</v>
      </c>
      <c r="J1168">
        <v>200</v>
      </c>
      <c r="K1168">
        <v>200</v>
      </c>
    </row>
    <row r="1169" spans="1:13" x14ac:dyDescent="0.3">
      <c r="A1169">
        <v>49.8</v>
      </c>
      <c r="B1169">
        <v>49.8</v>
      </c>
      <c r="C1169">
        <v>49.8</v>
      </c>
      <c r="D1169">
        <v>49.8</v>
      </c>
      <c r="E1169">
        <v>49.8</v>
      </c>
      <c r="F1169">
        <v>49.8</v>
      </c>
      <c r="G1169">
        <v>49.8</v>
      </c>
      <c r="H1169">
        <v>49.8</v>
      </c>
      <c r="I1169">
        <v>49.8</v>
      </c>
      <c r="J1169">
        <v>49.8</v>
      </c>
      <c r="K1169">
        <v>49.8</v>
      </c>
    </row>
    <row r="1170" spans="1:13" x14ac:dyDescent="0.3">
      <c r="A1170">
        <v>49.85</v>
      </c>
      <c r="B1170">
        <v>49.85</v>
      </c>
      <c r="C1170">
        <v>49.85</v>
      </c>
      <c r="D1170">
        <v>49.85</v>
      </c>
      <c r="E1170">
        <v>49.85</v>
      </c>
      <c r="F1170">
        <v>49.85</v>
      </c>
      <c r="G1170">
        <v>49.85</v>
      </c>
      <c r="H1170">
        <v>49.85</v>
      </c>
      <c r="I1170">
        <v>49.85</v>
      </c>
      <c r="J1170">
        <v>49.85</v>
      </c>
      <c r="K1170">
        <v>49.85</v>
      </c>
    </row>
    <row r="1171" spans="1:13" x14ac:dyDescent="0.3">
      <c r="A1171">
        <v>100</v>
      </c>
      <c r="B1171">
        <v>100</v>
      </c>
      <c r="C1171">
        <v>100</v>
      </c>
      <c r="D1171">
        <v>100</v>
      </c>
      <c r="E1171">
        <v>100</v>
      </c>
      <c r="F1171">
        <v>100</v>
      </c>
      <c r="G1171">
        <v>100</v>
      </c>
      <c r="H1171">
        <v>100</v>
      </c>
      <c r="I1171">
        <v>100</v>
      </c>
      <c r="J1171">
        <v>100</v>
      </c>
      <c r="K1171">
        <v>100</v>
      </c>
    </row>
    <row r="1172" spans="1:13" x14ac:dyDescent="0.3">
      <c r="A1172" t="s">
        <v>36</v>
      </c>
      <c r="B1172" t="s">
        <v>36</v>
      </c>
      <c r="C1172" t="s">
        <v>36</v>
      </c>
      <c r="D1172" t="s">
        <v>36</v>
      </c>
      <c r="E1172" t="s">
        <v>36</v>
      </c>
      <c r="F1172" t="s">
        <v>36</v>
      </c>
      <c r="G1172" t="s">
        <v>36</v>
      </c>
      <c r="H1172" t="s">
        <v>36</v>
      </c>
      <c r="I1172" t="s">
        <v>36</v>
      </c>
      <c r="J1172" t="s">
        <v>36</v>
      </c>
      <c r="K1172" t="s">
        <v>36</v>
      </c>
    </row>
    <row r="1173" spans="1:13" x14ac:dyDescent="0.3">
      <c r="A1173">
        <v>4281303</v>
      </c>
      <c r="B1173">
        <v>4281303</v>
      </c>
      <c r="C1173">
        <v>4281303</v>
      </c>
      <c r="D1173">
        <v>4281303</v>
      </c>
      <c r="E1173">
        <v>4281303</v>
      </c>
      <c r="F1173">
        <v>4281303</v>
      </c>
      <c r="G1173">
        <v>4281303</v>
      </c>
      <c r="H1173">
        <v>4281303</v>
      </c>
      <c r="I1173">
        <v>4281303</v>
      </c>
      <c r="J1173">
        <v>4281303</v>
      </c>
      <c r="K1173">
        <v>4281303</v>
      </c>
    </row>
    <row r="1174" spans="1:13" x14ac:dyDescent="0.3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</row>
    <row r="1175" spans="1:13" x14ac:dyDescent="0.3">
      <c r="A1175" t="s">
        <v>19</v>
      </c>
      <c r="B1175" t="s">
        <v>19</v>
      </c>
      <c r="C1175" t="s">
        <v>19</v>
      </c>
      <c r="D1175" t="s">
        <v>19</v>
      </c>
      <c r="E1175" t="s">
        <v>19</v>
      </c>
      <c r="F1175" t="s">
        <v>19</v>
      </c>
      <c r="G1175" t="s">
        <v>19</v>
      </c>
      <c r="H1175" t="s">
        <v>19</v>
      </c>
      <c r="I1175" t="s">
        <v>19</v>
      </c>
      <c r="J1175" t="s">
        <v>19</v>
      </c>
      <c r="K1175" t="s">
        <v>19</v>
      </c>
    </row>
    <row r="1176" spans="1:13" x14ac:dyDescent="0.3">
      <c r="A1176" t="s">
        <v>20</v>
      </c>
      <c r="B1176" t="s">
        <v>20</v>
      </c>
      <c r="C1176" t="s">
        <v>20</v>
      </c>
      <c r="D1176" t="s">
        <v>20</v>
      </c>
      <c r="E1176" t="s">
        <v>20</v>
      </c>
      <c r="F1176" t="s">
        <v>20</v>
      </c>
      <c r="G1176" t="s">
        <v>20</v>
      </c>
      <c r="H1176" t="s">
        <v>20</v>
      </c>
      <c r="I1176" t="s">
        <v>20</v>
      </c>
      <c r="J1176" t="s">
        <v>20</v>
      </c>
      <c r="K1176" t="s">
        <v>20</v>
      </c>
    </row>
    <row r="1177" spans="1:13" x14ac:dyDescent="0.3">
      <c r="A1177" t="s">
        <v>15</v>
      </c>
      <c r="B1177" t="s">
        <v>15</v>
      </c>
      <c r="C1177" t="s">
        <v>15</v>
      </c>
      <c r="D1177" t="s">
        <v>15</v>
      </c>
      <c r="E1177" t="s">
        <v>15</v>
      </c>
      <c r="F1177" t="s">
        <v>15</v>
      </c>
      <c r="G1177" t="s">
        <v>15</v>
      </c>
      <c r="H1177" t="s">
        <v>15</v>
      </c>
      <c r="I1177" t="s">
        <v>15</v>
      </c>
      <c r="J1177" t="s">
        <v>15</v>
      </c>
      <c r="K1177" t="s">
        <v>15</v>
      </c>
      <c r="L1177" t="s">
        <v>16</v>
      </c>
      <c r="M1177" t="s">
        <v>17</v>
      </c>
    </row>
    <row r="1178" spans="1:13" x14ac:dyDescent="0.3">
      <c r="A1178">
        <v>263.95</v>
      </c>
      <c r="B1178">
        <v>263.95</v>
      </c>
      <c r="C1178">
        <v>263.95</v>
      </c>
      <c r="D1178">
        <v>263.95</v>
      </c>
      <c r="E1178">
        <v>263.95</v>
      </c>
      <c r="F1178">
        <v>263.95</v>
      </c>
      <c r="G1178">
        <v>263.95</v>
      </c>
      <c r="H1178">
        <v>263.95</v>
      </c>
      <c r="I1178">
        <v>263.95</v>
      </c>
      <c r="J1178">
        <v>263.95</v>
      </c>
      <c r="K1178">
        <v>263.95</v>
      </c>
    </row>
    <row r="1179" spans="1:13" x14ac:dyDescent="0.3">
      <c r="A1179">
        <v>-0.09</v>
      </c>
      <c r="B1179">
        <v>-0.09</v>
      </c>
      <c r="C1179">
        <v>-0.09</v>
      </c>
      <c r="D1179">
        <v>-0.09</v>
      </c>
      <c r="E1179">
        <v>-0.09</v>
      </c>
      <c r="F1179">
        <v>-0.09</v>
      </c>
      <c r="G1179">
        <v>-0.09</v>
      </c>
      <c r="H1179">
        <v>-0.09</v>
      </c>
      <c r="I1179">
        <v>-0.09</v>
      </c>
      <c r="J1179">
        <v>-0.09</v>
      </c>
      <c r="K1179">
        <v>-0.09</v>
      </c>
    </row>
    <row r="1180" spans="1:13" x14ac:dyDescent="0.3">
      <c r="A1180">
        <v>100</v>
      </c>
      <c r="B1180">
        <v>100</v>
      </c>
      <c r="C1180">
        <v>100</v>
      </c>
      <c r="D1180">
        <v>100</v>
      </c>
      <c r="E1180">
        <v>100</v>
      </c>
      <c r="F1180">
        <v>100</v>
      </c>
      <c r="G1180">
        <v>100</v>
      </c>
      <c r="H1180">
        <v>100</v>
      </c>
      <c r="I1180">
        <v>100</v>
      </c>
      <c r="J1180">
        <v>100</v>
      </c>
      <c r="K1180">
        <v>100</v>
      </c>
    </row>
    <row r="1181" spans="1:13" x14ac:dyDescent="0.3">
      <c r="A1181">
        <v>263.31</v>
      </c>
      <c r="B1181">
        <v>263.31</v>
      </c>
      <c r="C1181">
        <v>263.31</v>
      </c>
      <c r="D1181">
        <v>263.31</v>
      </c>
      <c r="E1181">
        <v>263.31</v>
      </c>
      <c r="F1181">
        <v>263.31</v>
      </c>
      <c r="G1181">
        <v>263.31</v>
      </c>
      <c r="H1181">
        <v>263.31</v>
      </c>
      <c r="I1181">
        <v>263.31</v>
      </c>
      <c r="J1181">
        <v>263.31</v>
      </c>
      <c r="K1181">
        <v>263.31</v>
      </c>
    </row>
    <row r="1182" spans="1:13" x14ac:dyDescent="0.3">
      <c r="A1182">
        <v>265.99</v>
      </c>
      <c r="B1182">
        <v>265.99</v>
      </c>
      <c r="C1182">
        <v>265.99</v>
      </c>
      <c r="D1182">
        <v>265.99</v>
      </c>
      <c r="E1182">
        <v>265.99</v>
      </c>
      <c r="F1182">
        <v>265.99</v>
      </c>
      <c r="G1182">
        <v>265.99</v>
      </c>
      <c r="H1182">
        <v>265.99</v>
      </c>
      <c r="I1182">
        <v>265.99</v>
      </c>
      <c r="J1182">
        <v>265.99</v>
      </c>
      <c r="K1182">
        <v>265.99</v>
      </c>
    </row>
    <row r="1183" spans="1:13" x14ac:dyDescent="0.3">
      <c r="A1183">
        <v>100</v>
      </c>
      <c r="B1183">
        <v>100</v>
      </c>
      <c r="C1183">
        <v>100</v>
      </c>
      <c r="D1183">
        <v>100</v>
      </c>
      <c r="E1183">
        <v>100</v>
      </c>
      <c r="F1183">
        <v>100</v>
      </c>
      <c r="G1183">
        <v>100</v>
      </c>
      <c r="H1183">
        <v>100</v>
      </c>
      <c r="I1183">
        <v>100</v>
      </c>
      <c r="J1183">
        <v>100</v>
      </c>
      <c r="K1183">
        <v>100</v>
      </c>
    </row>
    <row r="1184" spans="1:13" x14ac:dyDescent="0.3">
      <c r="A1184" t="s">
        <v>47</v>
      </c>
      <c r="B1184" t="s">
        <v>47</v>
      </c>
      <c r="C1184" t="s">
        <v>47</v>
      </c>
      <c r="D1184" t="s">
        <v>47</v>
      </c>
      <c r="E1184" t="s">
        <v>47</v>
      </c>
      <c r="F1184" t="s">
        <v>47</v>
      </c>
      <c r="G1184" t="s">
        <v>47</v>
      </c>
      <c r="H1184" t="s">
        <v>47</v>
      </c>
      <c r="I1184" t="s">
        <v>47</v>
      </c>
      <c r="J1184" t="s">
        <v>47</v>
      </c>
      <c r="K1184" t="s">
        <v>47</v>
      </c>
    </row>
    <row r="1185" spans="1:13" x14ac:dyDescent="0.3">
      <c r="A1185">
        <v>1842253</v>
      </c>
      <c r="B1185">
        <v>1842253</v>
      </c>
      <c r="C1185">
        <v>1842253</v>
      </c>
      <c r="D1185">
        <v>1842253</v>
      </c>
      <c r="E1185">
        <v>1842253</v>
      </c>
      <c r="F1185">
        <v>1842253</v>
      </c>
      <c r="G1185">
        <v>1842253</v>
      </c>
      <c r="H1185">
        <v>1842253</v>
      </c>
      <c r="I1185">
        <v>1842253</v>
      </c>
      <c r="J1185">
        <v>1842253</v>
      </c>
      <c r="K1185">
        <v>1842253</v>
      </c>
    </row>
    <row r="1186" spans="1:13" x14ac:dyDescent="0.3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</row>
    <row r="1187" spans="1:13" x14ac:dyDescent="0.3">
      <c r="A1187" t="s">
        <v>19</v>
      </c>
      <c r="B1187" t="s">
        <v>19</v>
      </c>
      <c r="C1187" t="s">
        <v>19</v>
      </c>
      <c r="D1187" t="s">
        <v>19</v>
      </c>
      <c r="E1187" t="s">
        <v>19</v>
      </c>
      <c r="F1187" t="s">
        <v>19</v>
      </c>
      <c r="G1187" t="s">
        <v>19</v>
      </c>
      <c r="H1187" t="s">
        <v>19</v>
      </c>
      <c r="I1187" t="s">
        <v>19</v>
      </c>
      <c r="J1187" t="s">
        <v>19</v>
      </c>
      <c r="K1187" t="s">
        <v>19</v>
      </c>
    </row>
    <row r="1188" spans="1:13" x14ac:dyDescent="0.3">
      <c r="A1188" t="s">
        <v>28</v>
      </c>
      <c r="B1188" t="s">
        <v>28</v>
      </c>
      <c r="C1188" t="s">
        <v>28</v>
      </c>
      <c r="D1188" t="s">
        <v>28</v>
      </c>
      <c r="E1188" t="s">
        <v>28</v>
      </c>
      <c r="F1188" t="s">
        <v>28</v>
      </c>
      <c r="G1188" t="s">
        <v>28</v>
      </c>
      <c r="H1188" t="s">
        <v>28</v>
      </c>
      <c r="I1188" t="s">
        <v>28</v>
      </c>
      <c r="J1188" t="s">
        <v>28</v>
      </c>
      <c r="K1188" t="s">
        <v>28</v>
      </c>
    </row>
    <row r="1189" spans="1:13" x14ac:dyDescent="0.3">
      <c r="A1189" t="s">
        <v>15</v>
      </c>
      <c r="B1189" t="s">
        <v>15</v>
      </c>
      <c r="C1189" t="s">
        <v>15</v>
      </c>
      <c r="D1189" t="s">
        <v>15</v>
      </c>
      <c r="E1189" t="s">
        <v>15</v>
      </c>
      <c r="F1189" t="s">
        <v>15</v>
      </c>
      <c r="G1189" t="s">
        <v>15</v>
      </c>
      <c r="H1189" t="s">
        <v>15</v>
      </c>
      <c r="I1189" t="s">
        <v>15</v>
      </c>
      <c r="J1189" t="s">
        <v>15</v>
      </c>
      <c r="K1189" t="s">
        <v>15</v>
      </c>
      <c r="L1189" t="s">
        <v>16</v>
      </c>
      <c r="M1189" t="s">
        <v>17</v>
      </c>
    </row>
    <row r="1190" spans="1:13" x14ac:dyDescent="0.3">
      <c r="A1190">
        <v>63.44</v>
      </c>
      <c r="B1190">
        <v>63.44</v>
      </c>
      <c r="C1190">
        <v>63.44</v>
      </c>
      <c r="D1190">
        <v>63.44</v>
      </c>
      <c r="E1190">
        <v>63.44</v>
      </c>
      <c r="F1190">
        <v>63.44</v>
      </c>
      <c r="G1190">
        <v>63.44</v>
      </c>
      <c r="H1190">
        <v>63.44</v>
      </c>
      <c r="I1190">
        <v>63.44</v>
      </c>
      <c r="J1190">
        <v>63.44</v>
      </c>
      <c r="K1190">
        <v>63.44</v>
      </c>
    </row>
    <row r="1191" spans="1:13" x14ac:dyDescent="0.3">
      <c r="A1191">
        <v>-0.24</v>
      </c>
      <c r="B1191">
        <v>-0.24</v>
      </c>
      <c r="C1191">
        <v>-0.24</v>
      </c>
      <c r="D1191">
        <v>-0.24</v>
      </c>
      <c r="E1191">
        <v>-0.24</v>
      </c>
      <c r="F1191">
        <v>-0.24</v>
      </c>
      <c r="G1191">
        <v>-0.24</v>
      </c>
      <c r="H1191">
        <v>-0.24</v>
      </c>
      <c r="I1191">
        <v>-0.24</v>
      </c>
      <c r="J1191">
        <v>-0.24</v>
      </c>
      <c r="K1191">
        <v>-0.24</v>
      </c>
    </row>
    <row r="1192" spans="1:13" x14ac:dyDescent="0.3">
      <c r="A1192">
        <v>400</v>
      </c>
      <c r="B1192">
        <v>400</v>
      </c>
      <c r="C1192">
        <v>400</v>
      </c>
      <c r="D1192">
        <v>400</v>
      </c>
      <c r="E1192">
        <v>400</v>
      </c>
      <c r="F1192">
        <v>400</v>
      </c>
      <c r="G1192">
        <v>400</v>
      </c>
      <c r="H1192">
        <v>400</v>
      </c>
      <c r="I1192">
        <v>400</v>
      </c>
      <c r="J1192">
        <v>400</v>
      </c>
      <c r="K1192">
        <v>400</v>
      </c>
    </row>
    <row r="1193" spans="1:13" x14ac:dyDescent="0.3">
      <c r="A1193">
        <v>63.29</v>
      </c>
      <c r="B1193">
        <v>63.29</v>
      </c>
      <c r="C1193">
        <v>63.29</v>
      </c>
      <c r="D1193">
        <v>63.29</v>
      </c>
      <c r="E1193">
        <v>63.29</v>
      </c>
      <c r="F1193">
        <v>63.29</v>
      </c>
      <c r="G1193">
        <v>63.29</v>
      </c>
      <c r="H1193">
        <v>63.29</v>
      </c>
      <c r="I1193">
        <v>63.29</v>
      </c>
      <c r="J1193">
        <v>63.29</v>
      </c>
      <c r="K1193">
        <v>63.29</v>
      </c>
    </row>
    <row r="1194" spans="1:13" x14ac:dyDescent="0.3">
      <c r="A1194">
        <v>63.9</v>
      </c>
      <c r="B1194">
        <v>63.9</v>
      </c>
      <c r="C1194">
        <v>63.9</v>
      </c>
      <c r="D1194">
        <v>63.9</v>
      </c>
      <c r="E1194">
        <v>63.9</v>
      </c>
      <c r="F1194">
        <v>63.9</v>
      </c>
      <c r="G1194">
        <v>63.9</v>
      </c>
      <c r="H1194">
        <v>63.9</v>
      </c>
      <c r="I1194">
        <v>63.9</v>
      </c>
      <c r="J1194">
        <v>63.9</v>
      </c>
      <c r="K1194">
        <v>63.9</v>
      </c>
    </row>
    <row r="1195" spans="1:13" x14ac:dyDescent="0.3">
      <c r="A1195">
        <v>400</v>
      </c>
      <c r="B1195">
        <v>400</v>
      </c>
      <c r="C1195">
        <v>400</v>
      </c>
      <c r="D1195">
        <v>400</v>
      </c>
      <c r="E1195">
        <v>400</v>
      </c>
      <c r="F1195">
        <v>400</v>
      </c>
      <c r="G1195">
        <v>400</v>
      </c>
      <c r="H1195">
        <v>400</v>
      </c>
      <c r="I1195">
        <v>400</v>
      </c>
      <c r="J1195">
        <v>400</v>
      </c>
      <c r="K1195">
        <v>400</v>
      </c>
    </row>
    <row r="1196" spans="1:13" x14ac:dyDescent="0.3">
      <c r="A1196" t="s">
        <v>34</v>
      </c>
      <c r="B1196" t="s">
        <v>34</v>
      </c>
      <c r="C1196" t="s">
        <v>34</v>
      </c>
      <c r="D1196" t="s">
        <v>34</v>
      </c>
      <c r="E1196" t="s">
        <v>34</v>
      </c>
      <c r="F1196" t="s">
        <v>34</v>
      </c>
      <c r="G1196" t="s">
        <v>34</v>
      </c>
      <c r="H1196" t="s">
        <v>34</v>
      </c>
      <c r="I1196" t="s">
        <v>34</v>
      </c>
      <c r="J1196" t="s">
        <v>34</v>
      </c>
      <c r="K1196" t="s">
        <v>34</v>
      </c>
    </row>
    <row r="1197" spans="1:13" x14ac:dyDescent="0.3">
      <c r="A1197">
        <v>1567501</v>
      </c>
      <c r="B1197">
        <v>1567501</v>
      </c>
      <c r="C1197">
        <v>1567501</v>
      </c>
      <c r="D1197">
        <v>1567501</v>
      </c>
      <c r="E1197">
        <v>1567501</v>
      </c>
      <c r="F1197">
        <v>1567501</v>
      </c>
      <c r="G1197">
        <v>1567501</v>
      </c>
      <c r="H1197">
        <v>1567501</v>
      </c>
      <c r="I1197">
        <v>1567501</v>
      </c>
      <c r="J1197">
        <v>1567501</v>
      </c>
      <c r="K1197">
        <v>1567501</v>
      </c>
    </row>
    <row r="1198" spans="1:13" x14ac:dyDescent="0.3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</row>
    <row r="1199" spans="1:13" x14ac:dyDescent="0.3">
      <c r="A1199" t="s">
        <v>19</v>
      </c>
      <c r="B1199" t="s">
        <v>19</v>
      </c>
      <c r="C1199" t="s">
        <v>19</v>
      </c>
      <c r="D1199" t="s">
        <v>19</v>
      </c>
      <c r="E1199" t="s">
        <v>19</v>
      </c>
      <c r="F1199" t="s">
        <v>19</v>
      </c>
      <c r="G1199" t="s">
        <v>19</v>
      </c>
      <c r="H1199" t="s">
        <v>19</v>
      </c>
      <c r="I1199" t="s">
        <v>19</v>
      </c>
      <c r="J1199" t="s">
        <v>19</v>
      </c>
      <c r="K1199" t="s">
        <v>19</v>
      </c>
    </row>
    <row r="1200" spans="1:13" x14ac:dyDescent="0.3">
      <c r="A1200" t="s">
        <v>20</v>
      </c>
      <c r="B1200" t="s">
        <v>20</v>
      </c>
      <c r="C1200" t="s">
        <v>20</v>
      </c>
      <c r="D1200" t="s">
        <v>20</v>
      </c>
      <c r="E1200" t="s">
        <v>20</v>
      </c>
      <c r="F1200" t="s">
        <v>20</v>
      </c>
      <c r="G1200" t="s">
        <v>20</v>
      </c>
      <c r="H1200" t="s">
        <v>20</v>
      </c>
      <c r="I1200" t="s">
        <v>20</v>
      </c>
      <c r="J1200" t="s">
        <v>20</v>
      </c>
      <c r="K1200" t="s">
        <v>20</v>
      </c>
    </row>
    <row r="1201" spans="1:13" x14ac:dyDescent="0.3">
      <c r="A1201" t="s">
        <v>15</v>
      </c>
      <c r="B1201" t="s">
        <v>15</v>
      </c>
      <c r="C1201" t="s">
        <v>15</v>
      </c>
      <c r="D1201" t="s">
        <v>15</v>
      </c>
      <c r="E1201" t="s">
        <v>15</v>
      </c>
      <c r="F1201" t="s">
        <v>15</v>
      </c>
      <c r="G1201" t="s">
        <v>15</v>
      </c>
      <c r="H1201" t="s">
        <v>15</v>
      </c>
      <c r="I1201" t="s">
        <v>15</v>
      </c>
      <c r="J1201" t="s">
        <v>15</v>
      </c>
      <c r="K1201" t="s">
        <v>15</v>
      </c>
      <c r="L1201" t="s">
        <v>16</v>
      </c>
      <c r="M1201" t="s">
        <v>17</v>
      </c>
    </row>
    <row r="1202" spans="1:13" x14ac:dyDescent="0.3">
      <c r="A1202">
        <v>136.47999999999999</v>
      </c>
      <c r="B1202">
        <v>136.47999999999999</v>
      </c>
      <c r="C1202">
        <v>136.47999999999999</v>
      </c>
      <c r="D1202">
        <v>136.47999999999999</v>
      </c>
      <c r="E1202">
        <v>136.47999999999999</v>
      </c>
      <c r="F1202">
        <v>136.47999999999999</v>
      </c>
      <c r="G1202">
        <v>136.47999999999999</v>
      </c>
      <c r="H1202">
        <v>136.47999999999999</v>
      </c>
      <c r="I1202">
        <v>136.47999999999999</v>
      </c>
      <c r="J1202">
        <v>136.47999999999999</v>
      </c>
      <c r="K1202">
        <v>136.47999999999999</v>
      </c>
    </row>
    <row r="1203" spans="1:13" x14ac:dyDescent="0.3">
      <c r="A1203">
        <v>0.15</v>
      </c>
      <c r="B1203">
        <v>0.15</v>
      </c>
      <c r="C1203">
        <v>0.15</v>
      </c>
      <c r="D1203">
        <v>0.15</v>
      </c>
      <c r="E1203">
        <v>0.15</v>
      </c>
      <c r="F1203">
        <v>0.15</v>
      </c>
      <c r="G1203">
        <v>0.15</v>
      </c>
      <c r="H1203">
        <v>0.15</v>
      </c>
      <c r="I1203">
        <v>0.15</v>
      </c>
      <c r="J1203">
        <v>0.15</v>
      </c>
      <c r="K1203">
        <v>0.15</v>
      </c>
    </row>
    <row r="1204" spans="1:13" x14ac:dyDescent="0.3">
      <c r="A1204">
        <v>100</v>
      </c>
      <c r="B1204">
        <v>100</v>
      </c>
      <c r="C1204">
        <v>100</v>
      </c>
      <c r="D1204">
        <v>100</v>
      </c>
      <c r="E1204">
        <v>100</v>
      </c>
      <c r="F1204">
        <v>100</v>
      </c>
      <c r="G1204">
        <v>100</v>
      </c>
      <c r="H1204">
        <v>100</v>
      </c>
      <c r="I1204">
        <v>100</v>
      </c>
      <c r="J1204">
        <v>100</v>
      </c>
      <c r="K1204">
        <v>100</v>
      </c>
    </row>
    <row r="1205" spans="1:13" x14ac:dyDescent="0.3">
      <c r="A1205">
        <v>135.02000000000001</v>
      </c>
      <c r="B1205">
        <v>135.02000000000001</v>
      </c>
      <c r="C1205">
        <v>135.02000000000001</v>
      </c>
      <c r="D1205">
        <v>135.02000000000001</v>
      </c>
      <c r="E1205">
        <v>135.02000000000001</v>
      </c>
      <c r="F1205">
        <v>135.02000000000001</v>
      </c>
      <c r="G1205">
        <v>135.02000000000001</v>
      </c>
      <c r="H1205">
        <v>135.02000000000001</v>
      </c>
      <c r="I1205">
        <v>135.02000000000001</v>
      </c>
      <c r="J1205">
        <v>135.02000000000001</v>
      </c>
      <c r="K1205">
        <v>135.02000000000001</v>
      </c>
    </row>
    <row r="1206" spans="1:13" x14ac:dyDescent="0.3">
      <c r="A1206">
        <v>136.99</v>
      </c>
      <c r="B1206">
        <v>136.99</v>
      </c>
      <c r="C1206">
        <v>136.99</v>
      </c>
      <c r="D1206">
        <v>136.99</v>
      </c>
      <c r="E1206">
        <v>136.99</v>
      </c>
      <c r="F1206">
        <v>136.99</v>
      </c>
      <c r="G1206">
        <v>136.99</v>
      </c>
      <c r="H1206">
        <v>136.99</v>
      </c>
      <c r="I1206">
        <v>136.99</v>
      </c>
      <c r="J1206">
        <v>136.99</v>
      </c>
      <c r="K1206">
        <v>136.99</v>
      </c>
    </row>
    <row r="1207" spans="1:13" x14ac:dyDescent="0.3">
      <c r="A1207">
        <v>100</v>
      </c>
      <c r="B1207">
        <v>100</v>
      </c>
      <c r="C1207">
        <v>100</v>
      </c>
      <c r="D1207">
        <v>100</v>
      </c>
      <c r="E1207">
        <v>100</v>
      </c>
      <c r="F1207">
        <v>100</v>
      </c>
      <c r="G1207">
        <v>100</v>
      </c>
      <c r="H1207">
        <v>100</v>
      </c>
      <c r="I1207">
        <v>100</v>
      </c>
      <c r="J1207">
        <v>100</v>
      </c>
      <c r="K1207">
        <v>100</v>
      </c>
    </row>
    <row r="1208" spans="1:13" x14ac:dyDescent="0.3">
      <c r="A1208" t="s">
        <v>49</v>
      </c>
      <c r="B1208" t="s">
        <v>49</v>
      </c>
      <c r="C1208" t="s">
        <v>49</v>
      </c>
      <c r="D1208" t="s">
        <v>49</v>
      </c>
      <c r="E1208" t="s">
        <v>49</v>
      </c>
      <c r="F1208" t="s">
        <v>49</v>
      </c>
      <c r="G1208" t="s">
        <v>49</v>
      </c>
      <c r="H1208" t="s">
        <v>49</v>
      </c>
      <c r="I1208" t="s">
        <v>49</v>
      </c>
      <c r="J1208" t="s">
        <v>49</v>
      </c>
      <c r="K1208" t="s">
        <v>49</v>
      </c>
    </row>
    <row r="1209" spans="1:13" x14ac:dyDescent="0.3">
      <c r="A1209">
        <v>1915067</v>
      </c>
      <c r="B1209">
        <v>1915067</v>
      </c>
      <c r="C1209">
        <v>1915067</v>
      </c>
      <c r="D1209">
        <v>1915067</v>
      </c>
      <c r="E1209">
        <v>1915067</v>
      </c>
      <c r="F1209">
        <v>1915067</v>
      </c>
      <c r="G1209">
        <v>1915067</v>
      </c>
      <c r="H1209">
        <v>1915067</v>
      </c>
      <c r="I1209">
        <v>1915067</v>
      </c>
      <c r="J1209">
        <v>1915067</v>
      </c>
      <c r="K1209">
        <v>1915067</v>
      </c>
    </row>
    <row r="1210" spans="1:13" x14ac:dyDescent="0.3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</row>
    <row r="1211" spans="1:13" x14ac:dyDescent="0.3">
      <c r="A1211" t="s">
        <v>19</v>
      </c>
      <c r="B1211" t="s">
        <v>19</v>
      </c>
      <c r="C1211" t="s">
        <v>19</v>
      </c>
      <c r="D1211" t="s">
        <v>19</v>
      </c>
      <c r="E1211" t="s">
        <v>19</v>
      </c>
      <c r="F1211" t="s">
        <v>19</v>
      </c>
      <c r="G1211" t="s">
        <v>19</v>
      </c>
      <c r="H1211" t="s">
        <v>19</v>
      </c>
      <c r="I1211" t="s">
        <v>19</v>
      </c>
      <c r="J1211" t="s">
        <v>19</v>
      </c>
      <c r="K1211" t="s">
        <v>19</v>
      </c>
    </row>
    <row r="1212" spans="1:13" x14ac:dyDescent="0.3">
      <c r="A1212" t="s">
        <v>20</v>
      </c>
      <c r="B1212" t="s">
        <v>20</v>
      </c>
      <c r="C1212" t="s">
        <v>20</v>
      </c>
      <c r="D1212" t="s">
        <v>20</v>
      </c>
      <c r="E1212" t="s">
        <v>20</v>
      </c>
      <c r="F1212" t="s">
        <v>20</v>
      </c>
      <c r="G1212" t="s">
        <v>20</v>
      </c>
      <c r="H1212" t="s">
        <v>20</v>
      </c>
      <c r="I1212" t="s">
        <v>20</v>
      </c>
      <c r="J1212" t="s">
        <v>20</v>
      </c>
      <c r="K1212" t="s">
        <v>20</v>
      </c>
    </row>
    <row r="1213" spans="1:13" x14ac:dyDescent="0.3">
      <c r="A1213" t="s">
        <v>15</v>
      </c>
      <c r="B1213" t="s">
        <v>15</v>
      </c>
      <c r="C1213" t="s">
        <v>15</v>
      </c>
      <c r="D1213" t="s">
        <v>15</v>
      </c>
      <c r="E1213" t="s">
        <v>15</v>
      </c>
      <c r="F1213" t="s">
        <v>15</v>
      </c>
      <c r="G1213" t="s">
        <v>15</v>
      </c>
      <c r="H1213" t="s">
        <v>15</v>
      </c>
      <c r="I1213" t="s">
        <v>15</v>
      </c>
      <c r="J1213" t="s">
        <v>15</v>
      </c>
      <c r="K1213" t="s">
        <v>15</v>
      </c>
      <c r="L1213" t="s">
        <v>16</v>
      </c>
      <c r="M1213" t="s">
        <v>17</v>
      </c>
    </row>
    <row r="1214" spans="1:13" x14ac:dyDescent="0.3">
      <c r="A1214">
        <v>419.59</v>
      </c>
      <c r="B1214">
        <v>419.59</v>
      </c>
      <c r="C1214">
        <v>419.59</v>
      </c>
      <c r="D1214">
        <v>419.59</v>
      </c>
      <c r="E1214">
        <v>419.59</v>
      </c>
      <c r="F1214">
        <v>419.59</v>
      </c>
      <c r="G1214">
        <v>419.59</v>
      </c>
      <c r="H1214">
        <v>419.59</v>
      </c>
      <c r="I1214">
        <v>419.59</v>
      </c>
      <c r="J1214">
        <v>419.59</v>
      </c>
      <c r="K1214">
        <v>419.59</v>
      </c>
    </row>
    <row r="1215" spans="1:13" x14ac:dyDescent="0.3">
      <c r="A1215">
        <v>7.59</v>
      </c>
      <c r="B1215">
        <v>7.59</v>
      </c>
      <c r="C1215">
        <v>7.59</v>
      </c>
      <c r="D1215">
        <v>7.59</v>
      </c>
      <c r="E1215">
        <v>7.59</v>
      </c>
      <c r="F1215">
        <v>7.59</v>
      </c>
      <c r="G1215">
        <v>7.59</v>
      </c>
      <c r="H1215">
        <v>7.59</v>
      </c>
      <c r="I1215">
        <v>7.59</v>
      </c>
      <c r="J1215">
        <v>7.59</v>
      </c>
      <c r="K1215">
        <v>7.59</v>
      </c>
    </row>
    <row r="1216" spans="1:13" x14ac:dyDescent="0.3">
      <c r="A1216">
        <v>400</v>
      </c>
      <c r="B1216">
        <v>400</v>
      </c>
      <c r="C1216">
        <v>400</v>
      </c>
      <c r="D1216">
        <v>400</v>
      </c>
      <c r="E1216">
        <v>400</v>
      </c>
      <c r="F1216">
        <v>400</v>
      </c>
      <c r="G1216">
        <v>400</v>
      </c>
      <c r="H1216">
        <v>400</v>
      </c>
      <c r="I1216">
        <v>400</v>
      </c>
      <c r="J1216">
        <v>400</v>
      </c>
      <c r="K1216">
        <v>400</v>
      </c>
    </row>
    <row r="1217" spans="1:11" x14ac:dyDescent="0.3">
      <c r="A1217">
        <v>419.65</v>
      </c>
      <c r="B1217">
        <v>419.65</v>
      </c>
      <c r="C1217">
        <v>419.65</v>
      </c>
      <c r="D1217">
        <v>419.65</v>
      </c>
      <c r="E1217">
        <v>419.65</v>
      </c>
      <c r="F1217">
        <v>419.65</v>
      </c>
      <c r="G1217">
        <v>419.65</v>
      </c>
      <c r="H1217">
        <v>419.65</v>
      </c>
      <c r="I1217">
        <v>419.65</v>
      </c>
      <c r="J1217">
        <v>419.65</v>
      </c>
      <c r="K1217">
        <v>419.65</v>
      </c>
    </row>
    <row r="1218" spans="1:11" x14ac:dyDescent="0.3">
      <c r="A1218">
        <v>419.85</v>
      </c>
      <c r="B1218">
        <v>419.85</v>
      </c>
      <c r="C1218">
        <v>419.85</v>
      </c>
      <c r="D1218">
        <v>419.85</v>
      </c>
      <c r="E1218">
        <v>419.85</v>
      </c>
      <c r="F1218">
        <v>419.85</v>
      </c>
      <c r="G1218">
        <v>419.85</v>
      </c>
      <c r="H1218">
        <v>419.85</v>
      </c>
      <c r="I1218">
        <v>419.85</v>
      </c>
      <c r="J1218">
        <v>419.85</v>
      </c>
      <c r="K1218">
        <v>419.85</v>
      </c>
    </row>
    <row r="1219" spans="1:11" x14ac:dyDescent="0.3">
      <c r="A1219">
        <v>200</v>
      </c>
      <c r="B1219">
        <v>200</v>
      </c>
      <c r="C1219">
        <v>200</v>
      </c>
      <c r="D1219">
        <v>200</v>
      </c>
      <c r="E1219">
        <v>200</v>
      </c>
      <c r="F1219">
        <v>200</v>
      </c>
      <c r="G1219">
        <v>200</v>
      </c>
      <c r="H1219">
        <v>200</v>
      </c>
      <c r="I1219">
        <v>200</v>
      </c>
      <c r="J1219">
        <v>200</v>
      </c>
      <c r="K1219">
        <v>200</v>
      </c>
    </row>
    <row r="1220" spans="1:11" x14ac:dyDescent="0.3">
      <c r="A1220" t="s">
        <v>39</v>
      </c>
      <c r="B1220" t="s">
        <v>39</v>
      </c>
      <c r="C1220" t="s">
        <v>39</v>
      </c>
      <c r="D1220" t="s">
        <v>39</v>
      </c>
      <c r="E1220" t="s">
        <v>39</v>
      </c>
      <c r="F1220" t="s">
        <v>39</v>
      </c>
      <c r="G1220" t="s">
        <v>39</v>
      </c>
      <c r="H1220" t="s">
        <v>39</v>
      </c>
      <c r="I1220" t="s">
        <v>39</v>
      </c>
      <c r="J1220" t="s">
        <v>39</v>
      </c>
      <c r="K1220" t="s">
        <v>39</v>
      </c>
    </row>
    <row r="1221" spans="1:11" x14ac:dyDescent="0.3">
      <c r="A1221">
        <v>9709244</v>
      </c>
      <c r="B1221">
        <v>9709244</v>
      </c>
      <c r="C1221">
        <v>9709244</v>
      </c>
      <c r="D1221">
        <v>9709244</v>
      </c>
      <c r="E1221">
        <v>9709244</v>
      </c>
      <c r="F1221">
        <v>9709244</v>
      </c>
      <c r="G1221">
        <v>9709244</v>
      </c>
      <c r="H1221">
        <v>9709244</v>
      </c>
      <c r="I1221">
        <v>9709244</v>
      </c>
      <c r="J1221">
        <v>9709244</v>
      </c>
      <c r="K1221">
        <v>9709244</v>
      </c>
    </row>
    <row r="1222" spans="1:11" x14ac:dyDescent="0.3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</row>
    <row r="1223" spans="1:11" x14ac:dyDescent="0.3">
      <c r="A1223" t="s">
        <v>19</v>
      </c>
      <c r="B1223" t="s">
        <v>19</v>
      </c>
      <c r="C1223" t="s">
        <v>19</v>
      </c>
      <c r="D1223" t="s">
        <v>19</v>
      </c>
      <c r="E1223" t="s">
        <v>19</v>
      </c>
      <c r="F1223" t="s">
        <v>19</v>
      </c>
      <c r="G1223" t="s">
        <v>19</v>
      </c>
      <c r="H1223" t="s">
        <v>19</v>
      </c>
      <c r="I1223" t="s">
        <v>19</v>
      </c>
      <c r="J1223" t="s">
        <v>19</v>
      </c>
      <c r="K1223" t="s">
        <v>19</v>
      </c>
    </row>
    <row r="1224" spans="1:11" x14ac:dyDescent="0.3">
      <c r="A1224" t="s">
        <v>20</v>
      </c>
      <c r="B1224" t="s">
        <v>20</v>
      </c>
      <c r="C1224" t="s">
        <v>20</v>
      </c>
      <c r="D1224" t="s">
        <v>20</v>
      </c>
      <c r="E1224" t="s">
        <v>20</v>
      </c>
      <c r="F1224" t="s">
        <v>20</v>
      </c>
      <c r="G1224" t="s">
        <v>20</v>
      </c>
      <c r="H1224" t="s">
        <v>20</v>
      </c>
      <c r="I1224" t="s">
        <v>20</v>
      </c>
      <c r="J1224" t="s">
        <v>20</v>
      </c>
      <c r="K1224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DATAIN</vt:lpstr>
      <vt:lpstr>TEMPO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Paracchino</dc:creator>
  <cp:lastModifiedBy>Stefano Paracchino</cp:lastModifiedBy>
  <dcterms:created xsi:type="dcterms:W3CDTF">2021-02-02T21:48:30Z</dcterms:created>
  <dcterms:modified xsi:type="dcterms:W3CDTF">2021-02-07T17:07:36Z</dcterms:modified>
</cp:coreProperties>
</file>